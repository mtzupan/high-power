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BOM" sheetId="2" state="visible" r:id="rId2"/>
    <sheet name="Settings" sheetId="3" state="visible" r:id="rId3"/>
    <sheet name="Lists" sheetId="4" state="visible" r:id="rId4"/>
  </sheets>
  <definedNames>
    <definedName name="_xlnm._FilterDatabase" localSheetId="1" hidden="1">'BOM'!$A$1:$V$300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($#,##0.00)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sz val="13"/>
    </font>
    <font>
      <name val="Arial"/>
      <color rgb="000000FF"/>
    </font>
    <font>
      <name val="Arial"/>
      <i val="1"/>
      <color rgb="007F7F7F"/>
    </font>
    <font>
      <name val="Arial"/>
      <color rgb="00000000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0000F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59595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10" fillId="6" borderId="1" pivotButton="0" quotePrefix="0" xfId="0"/>
    <xf numFmtId="1" fontId="10" fillId="6" borderId="1" pivotButton="0" quotePrefix="0" xfId="0"/>
    <xf numFmtId="1" fontId="9" fillId="6" borderId="1" pivotButton="0" quotePrefix="0" xfId="0"/>
    <xf numFmtId="165" fontId="10" fillId="6" borderId="1" pivotButton="0" quotePrefix="0" xfId="0"/>
    <xf numFmtId="165" fontId="9" fillId="6" borderId="1" pivotButton="0" quotePrefix="0" xfId="0"/>
    <xf numFmtId="164" fontId="10" fillId="6" borderId="1" pivotButton="0" quotePrefix="0" xfId="0"/>
    <xf numFmtId="164" fontId="9" fillId="6" borderId="1" pivotButton="0" quotePrefix="0" xfId="0"/>
    <xf numFmtId="0" fontId="7" fillId="3" borderId="1" pivotButton="0" quotePrefix="0" xfId="0"/>
    <xf numFmtId="0" fontId="5" fillId="0" borderId="1" pivotButton="0" quotePrefix="0" xfId="0"/>
    <xf numFmtId="1" fontId="5" fillId="0" borderId="1" pivotButton="0" quotePrefix="0" xfId="0"/>
    <xf numFmtId="1" fontId="7" fillId="3" borderId="1" pivotButton="0" quotePrefix="0" xfId="0"/>
    <xf numFmtId="165" fontId="5" fillId="0" borderId="1" pivotButton="0" quotePrefix="0" xfId="0"/>
    <xf numFmtId="165" fontId="7" fillId="3" borderId="1" pivotButton="0" quotePrefix="0" xfId="0"/>
    <xf numFmtId="164" fontId="5" fillId="0" borderId="1" pivotButton="0" quotePrefix="0" xfId="0"/>
    <xf numFmtId="164" fontId="7" fillId="3" borderId="1" pivotButton="0" quotePrefix="0" xfId="0"/>
    <xf numFmtId="0" fontId="4" fillId="0" borderId="0" pivotButton="0" quotePrefix="0" xfId="0"/>
    <xf numFmtId="164" fontId="5" fillId="2" borderId="1" pivotButton="0" quotePrefix="0" xfId="0"/>
    <xf numFmtId="0" fontId="6" fillId="0" borderId="0" pivotButton="0" quotePrefix="0" xfId="0"/>
    <xf numFmtId="1" fontId="5" fillId="2" borderId="1" pivotButton="0" quotePrefix="0" xfId="0"/>
    <xf numFmtId="0" fontId="8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</patternFill>
      </fill>
    </dxf>
    <dxf>
      <font>
        <name val="Arial"/>
        <b val="1"/>
        <color rgb="00833C0B"/>
      </font>
      <fill>
        <patternFill patternType="solid">
          <fgColor rgb="00FCE4D6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40404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Auto: Epics use their Lists ID; other rows get 1000+row. Jira uses this to link Parent IDs within the import.</t>
      </text>
    </comment>
    <comment ref="B1" authorId="0" shapeId="0">
      <text>
        <t>Part or task name — becomes the Jira work item title.</t>
      </text>
    </comment>
    <comment ref="C1" authorId="0" shapeId="0">
      <text>
        <t>Epic for subsystems, Task for parts/design work.</t>
      </text>
    </comment>
    <comment ref="D1" authorId="0" shapeId="0">
      <text>
        <t>Pick from list — sets the Parent (Epic).</t>
      </text>
    </comment>
    <comment ref="E1" authorId="0" shapeId="0">
      <text>
        <t>Auto from Subsystem.</t>
      </text>
    </comment>
    <comment ref="F1" authorId="0" shapeId="0">
      <text>
        <t>Spec, rating, material, notes for Jira description.</t>
      </text>
    </comment>
    <comment ref="L1" authorId="0" shapeId="0">
      <text>
        <t>=MAX(0, Required − On Hand)</t>
      </text>
    </comment>
    <comment ref="N1" authorId="0" shapeId="0">
      <text>
        <t>= Qty to Order × Unit Cost</t>
      </text>
    </comment>
    <comment ref="P1" authorId="0" shapeId="0">
      <text>
        <t>Calendar days from order to receipt (quote or estimate).</t>
      </text>
    </comment>
    <comment ref="Q1" authorId="0" shapeId="0">
      <text>
        <t>Optional override. Blank = Target Build Date (Settings).</t>
      </text>
    </comment>
    <comment ref="R1" authorId="0" shapeId="0">
      <text>
        <t>Map to Jira Due date.</t>
      </text>
    </comment>
    <comment ref="S1" authorId="0" shapeId="0">
      <text>
        <t>Map to Jira Start date. = Need-by − Lead Time − Buffer.</t>
      </text>
    </comment>
    <comment ref="T1" authorId="0" shapeId="0">
      <text>
        <t>Spreadsheet-only (uses TODAY). Don't import.</t>
      </text>
    </comment>
    <comment ref="U1" authorId="0" shapeId="0">
      <text>
        <t>Spreadsheet-only. Don't import.</t>
      </text>
    </comment>
    <comment ref="V1" authorId="0" shapeId="0">
      <text>
        <t>Space-separated, no spaces within a label (e.g. long-lead electrical).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Small Wind Turbine BOM — Jira Import Template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>1. On 'Settings', set your Target Build Date, safety buffer and warning window (yellow cells).</t>
        </is>
      </c>
    </row>
    <row r="5">
      <c r="A5" s="2" t="inlineStr">
        <is>
          <t>2. On 'Lists', rename/add subsystems (these become Jira Epics) and edit dropdown values if needed.</t>
        </is>
      </c>
    </row>
    <row r="6">
      <c r="A6" s="2" t="inlineStr">
        <is>
          <t>3. On 'BOM', fill one row per part or design task. Only edit the BLUE-header columns; GREY-header columns are formulas.</t>
        </is>
      </c>
    </row>
    <row r="7">
      <c r="A7" s="2" t="inlineStr">
        <is>
          <t>4. Delete the two rows marked EXAMPLE once you've seen the format.</t>
        </is>
      </c>
    </row>
    <row r="8">
      <c r="A8" s="2" t="inlineStr">
        <is>
          <t>5. Leave 'Need-by Date' blank to default to the Target Build Date; enter a date to override (e.g. tower parts needed earlier).</t>
        </is>
      </c>
    </row>
    <row r="9">
      <c r="A9" s="2" t="inlineStr">
        <is>
          <t>6. Set 'Qty On Hand' for parts you already have — if it covers 'Qty Required', no order-by date is generated.</t>
        </is>
      </c>
    </row>
    <row r="10">
      <c r="A10" s="2" t="inlineStr"/>
    </row>
    <row r="11">
      <c r="A11" s="3" t="inlineStr">
        <is>
          <t>EXPORTING TO JIRA</t>
        </is>
      </c>
    </row>
    <row r="12">
      <c r="A12" s="2" t="inlineStr">
        <is>
          <t>a. Select the 'BOM' sheet → File › Save As › CSV UTF-8 (saves only the active sheet, with formula results as values).</t>
        </is>
      </c>
    </row>
    <row r="13">
      <c r="A13" s="2" t="inlineStr">
        <is>
          <t>b. In Jira: Settings › System › External System Import › CSV (or the project's Import work items option).</t>
        </is>
      </c>
    </row>
    <row r="14">
      <c r="A14" s="2" t="inlineStr">
        <is>
          <t>c. Set the date format to yyyy-MM-dd in the import wizard.</t>
        </is>
      </c>
    </row>
    <row r="15">
      <c r="A15" s="2" t="inlineStr">
        <is>
          <t>d. Map: Work Item ID → Work item ID, Parent ID → Parent, Work Type → Work type, Summary → Summary,</t>
        </is>
      </c>
    </row>
    <row r="16">
      <c r="A16" s="2" t="inlineStr">
        <is>
          <t xml:space="preserve">   Start date (Order-by) → Start date, Due date (Need-by) → Due date, Description → Description, Labels → Labels.</t>
        </is>
      </c>
    </row>
    <row r="17">
      <c r="A17" s="2" t="inlineStr">
        <is>
          <t>e. Map the remaining columns to the custom fields you created (Lead Time (days), Supplier, Part Number, Qty, Unit Cost, Procurement Status…).</t>
        </is>
      </c>
    </row>
    <row r="18">
      <c r="A18" s="2" t="inlineStr">
        <is>
          <t>f. Don't map 'Days Until Order-by' or 'Order Flag' — they depend on today's date and are for use in this spreadsheet only.</t>
        </is>
      </c>
    </row>
    <row r="19">
      <c r="A19" s="2" t="inlineStr"/>
    </row>
    <row r="20">
      <c r="A20" s="3" t="inlineStr">
        <is>
          <t>FORMULAS</t>
        </is>
      </c>
    </row>
    <row r="21">
      <c r="A21" s="2" t="inlineStr">
        <is>
          <t>Qty to Order = MAX(0, Qty Required − Qty On Hand)</t>
        </is>
      </c>
    </row>
    <row r="22">
      <c r="A22" s="2" t="inlineStr">
        <is>
          <t>Due date (Need-by) = Need-by Date if entered, else Target Build Date</t>
        </is>
      </c>
    </row>
    <row r="23">
      <c r="A23" s="2" t="inlineStr">
        <is>
          <t>Start date (Order-by) = Need-by − Lead Time − Safety Buffer   (blank if nothing to order or no lead time entered)</t>
        </is>
      </c>
    </row>
    <row r="24">
      <c r="A24" s="2" t="inlineStr">
        <is>
          <t>Order Flag: OVERDUE if past order-by and not yet ordered; ORDER SOON within the warning window.</t>
        </is>
      </c>
    </row>
    <row r="25">
      <c r="A25" s="2" t="inlineStr"/>
    </row>
    <row r="26">
      <c r="A26" s="3" t="inlineStr">
        <is>
          <t>COLOUR KEY</t>
        </is>
      </c>
    </row>
    <row r="27">
      <c r="A27" s="2" t="inlineStr">
        <is>
          <t>Blue header / blue text = your input   ·   Grey header / grey fill = formula (don't overwrite)   ·   Light-blue rows = Epics (subsystems)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0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26" customWidth="1" min="4" max="4"/>
    <col width="10" customWidth="1" min="5" max="5"/>
    <col width="36" customWidth="1" min="6" max="6"/>
    <col width="16" customWidth="1" min="7" max="7"/>
    <col width="18" customWidth="1" min="8" max="8"/>
    <col width="26" customWidth="1" min="9" max="9"/>
    <col width="10" customWidth="1" min="10" max="10"/>
    <col width="10" customWidth="1" min="11" max="11"/>
    <col width="10" customWidth="1" min="12" max="12"/>
    <col width="12" customWidth="1" min="13" max="13"/>
    <col width="14" customWidth="1" min="14" max="14"/>
    <col width="16" customWidth="1" min="15" max="15"/>
    <col width="10" customWidth="1" min="16" max="16"/>
    <col width="12" customWidth="1" min="17" max="17"/>
    <col width="13" customWidth="1" min="18" max="18"/>
    <col width="13" customWidth="1" min="19" max="19"/>
    <col width="11" customWidth="1" min="20" max="20"/>
    <col width="13" customWidth="1" min="21" max="21"/>
    <col width="16" customWidth="1" min="22" max="22"/>
  </cols>
  <sheetData>
    <row r="1" ht="42" customHeight="1">
      <c r="A1" s="4" t="inlineStr">
        <is>
          <t>Work Item ID</t>
        </is>
      </c>
      <c r="B1" s="5" t="inlineStr">
        <is>
          <t>Summary</t>
        </is>
      </c>
      <c r="C1" s="5" t="inlineStr">
        <is>
          <t>Work Type</t>
        </is>
      </c>
      <c r="D1" s="5" t="inlineStr">
        <is>
          <t>Subsystem</t>
        </is>
      </c>
      <c r="E1" s="4" t="inlineStr">
        <is>
          <t>Parent ID</t>
        </is>
      </c>
      <c r="F1" s="5" t="inlineStr">
        <is>
          <t>Description</t>
        </is>
      </c>
      <c r="G1" s="5" t="inlineStr">
        <is>
          <t>Part Number</t>
        </is>
      </c>
      <c r="H1" s="5" t="inlineStr">
        <is>
          <t>Supplier</t>
        </is>
      </c>
      <c r="I1" s="5" t="inlineStr">
        <is>
          <t>Supplier URL</t>
        </is>
      </c>
      <c r="J1" s="5" t="inlineStr">
        <is>
          <t>Qty Required</t>
        </is>
      </c>
      <c r="K1" s="5" t="inlineStr">
        <is>
          <t>Qty On Hand</t>
        </is>
      </c>
      <c r="L1" s="4" t="inlineStr">
        <is>
          <t>Qty to Order</t>
        </is>
      </c>
      <c r="M1" s="5" t="inlineStr">
        <is>
          <t>Unit Cost ($)</t>
        </is>
      </c>
      <c r="N1" s="4" t="inlineStr">
        <is>
          <t>Ext. Cost to Order ($)</t>
        </is>
      </c>
      <c r="O1" s="5" t="inlineStr">
        <is>
          <t>Procurement Status</t>
        </is>
      </c>
      <c r="P1" s="5" t="inlineStr">
        <is>
          <t>Lead Time (days)</t>
        </is>
      </c>
      <c r="Q1" s="5" t="inlineStr">
        <is>
          <t>Need-by Date</t>
        </is>
      </c>
      <c r="R1" s="4" t="inlineStr">
        <is>
          <t>Due date (Need-by)</t>
        </is>
      </c>
      <c r="S1" s="4" t="inlineStr">
        <is>
          <t>Start date (Order-by)</t>
        </is>
      </c>
      <c r="T1" s="4" t="inlineStr">
        <is>
          <t>Days Until Order-by</t>
        </is>
      </c>
      <c r="U1" s="4" t="inlineStr">
        <is>
          <t>Order Flag</t>
        </is>
      </c>
      <c r="V1" s="5" t="inlineStr">
        <is>
          <t>Labels</t>
        </is>
      </c>
    </row>
    <row r="2">
      <c r="A2" s="6">
        <f>IF(B2="","",IF(C2="Epic",IFERROR(INDEX(Lists!$A:$A,MATCH(B2,Lists!$B:$B,0)),"?"),1000+ROW()))</f>
        <v/>
      </c>
      <c r="B2" s="7">
        <f>Lists!B2</f>
        <v/>
      </c>
      <c r="C2" s="7" t="inlineStr">
        <is>
          <t>Epic</t>
        </is>
      </c>
      <c r="D2" s="7" t="n"/>
      <c r="E2" s="6">
        <f>IF(OR(C2="Epic",D2=""),"",IFERROR(INDEX(Lists!$A:$A,MATCH(D2,Lists!$B:$B,0)),""))</f>
        <v/>
      </c>
      <c r="F2" s="7" t="n"/>
      <c r="G2" s="7" t="n"/>
      <c r="H2" s="7" t="n"/>
      <c r="I2" s="7" t="n"/>
      <c r="J2" s="8" t="n"/>
      <c r="K2" s="8" t="n"/>
      <c r="L2" s="9">
        <f>IF(OR(C2="Epic",J2=""),"",MAX(0,J2-N(K2)))</f>
        <v/>
      </c>
      <c r="M2" s="10" t="n"/>
      <c r="N2" s="11">
        <f>IF(OR(L2="",M2=""),"",L2*M2)</f>
        <v/>
      </c>
      <c r="O2" s="7" t="n"/>
      <c r="P2" s="8" t="n"/>
      <c r="Q2" s="12" t="n"/>
      <c r="R2" s="13">
        <f>IF(OR(B2="",C2="Epic"),"",IF(Q2="",Settings!$B$3,Q2))</f>
        <v/>
      </c>
      <c r="S2" s="13">
        <f>IF(OR(R2="",P2="",N(L2)=0),"",R2-P2-Settings!$B$4)</f>
        <v/>
      </c>
      <c r="T2" s="9">
        <f>IF(S2="","",S2-TODAY())</f>
        <v/>
      </c>
      <c r="U2" s="6">
        <f>IF(OR(B2="",C2="Epic"),"",IF(N(L2)=0,IF(J2="","","ON HAND"),IF(OR(O2="Ordered",O2="Shipped",O2="Received"),O2,IF(S2="","NEED LEAD TIME",IF(T2&lt;0,"OVERDUE",IF(T2&lt;=Settings!$B$5,"ORDER SOON","OK"))))))</f>
        <v/>
      </c>
      <c r="V2" s="7" t="n"/>
    </row>
    <row r="3">
      <c r="A3" s="6">
        <f>IF(B3="","",IF(C3="Epic",IFERROR(INDEX(Lists!$A:$A,MATCH(B3,Lists!$B:$B,0)),"?"),1000+ROW()))</f>
        <v/>
      </c>
      <c r="B3" s="7">
        <f>Lists!B3</f>
        <v/>
      </c>
      <c r="C3" s="7" t="inlineStr">
        <is>
          <t>Epic</t>
        </is>
      </c>
      <c r="D3" s="7" t="n"/>
      <c r="E3" s="6">
        <f>IF(OR(C3="Epic",D3=""),"",IFERROR(INDEX(Lists!$A:$A,MATCH(D3,Lists!$B:$B,0)),""))</f>
        <v/>
      </c>
      <c r="F3" s="7" t="n"/>
      <c r="G3" s="7" t="n"/>
      <c r="H3" s="7" t="n"/>
      <c r="I3" s="7" t="n"/>
      <c r="J3" s="8" t="n"/>
      <c r="K3" s="8" t="n"/>
      <c r="L3" s="9">
        <f>IF(OR(C3="Epic",J3=""),"",MAX(0,J3-N(K3)))</f>
        <v/>
      </c>
      <c r="M3" s="10" t="n"/>
      <c r="N3" s="11">
        <f>IF(OR(L3="",M3=""),"",L3*M3)</f>
        <v/>
      </c>
      <c r="O3" s="7" t="n"/>
      <c r="P3" s="8" t="n"/>
      <c r="Q3" s="12" t="n"/>
      <c r="R3" s="13">
        <f>IF(OR(B3="",C3="Epic"),"",IF(Q3="",Settings!$B$3,Q3))</f>
        <v/>
      </c>
      <c r="S3" s="13">
        <f>IF(OR(R3="",P3="",N(L3)=0),"",R3-P3-Settings!$B$4)</f>
        <v/>
      </c>
      <c r="T3" s="9">
        <f>IF(S3="","",S3-TODAY())</f>
        <v/>
      </c>
      <c r="U3" s="6">
        <f>IF(OR(B3="",C3="Epic"),"",IF(N(L3)=0,IF(J3="","","ON HAND"),IF(OR(O3="Ordered",O3="Shipped",O3="Received"),O3,IF(S3="","NEED LEAD TIME",IF(T3&lt;0,"OVERDUE",IF(T3&lt;=Settings!$B$5,"ORDER SOON","OK"))))))</f>
        <v/>
      </c>
      <c r="V3" s="7" t="n"/>
    </row>
    <row r="4">
      <c r="A4" s="6">
        <f>IF(B4="","",IF(C4="Epic",IFERROR(INDEX(Lists!$A:$A,MATCH(B4,Lists!$B:$B,0)),"?"),1000+ROW()))</f>
        <v/>
      </c>
      <c r="B4" s="7">
        <f>Lists!B4</f>
        <v/>
      </c>
      <c r="C4" s="7" t="inlineStr">
        <is>
          <t>Epic</t>
        </is>
      </c>
      <c r="D4" s="7" t="n"/>
      <c r="E4" s="6">
        <f>IF(OR(C4="Epic",D4=""),"",IFERROR(INDEX(Lists!$A:$A,MATCH(D4,Lists!$B:$B,0)),""))</f>
        <v/>
      </c>
      <c r="F4" s="7" t="n"/>
      <c r="G4" s="7" t="n"/>
      <c r="H4" s="7" t="n"/>
      <c r="I4" s="7" t="n"/>
      <c r="J4" s="8" t="n"/>
      <c r="K4" s="8" t="n"/>
      <c r="L4" s="9">
        <f>IF(OR(C4="Epic",J4=""),"",MAX(0,J4-N(K4)))</f>
        <v/>
      </c>
      <c r="M4" s="10" t="n"/>
      <c r="N4" s="11">
        <f>IF(OR(L4="",M4=""),"",L4*M4)</f>
        <v/>
      </c>
      <c r="O4" s="7" t="n"/>
      <c r="P4" s="8" t="n"/>
      <c r="Q4" s="12" t="n"/>
      <c r="R4" s="13">
        <f>IF(OR(B4="",C4="Epic"),"",IF(Q4="",Settings!$B$3,Q4))</f>
        <v/>
      </c>
      <c r="S4" s="13">
        <f>IF(OR(R4="",P4="",N(L4)=0),"",R4-P4-Settings!$B$4)</f>
        <v/>
      </c>
      <c r="T4" s="9">
        <f>IF(S4="","",S4-TODAY())</f>
        <v/>
      </c>
      <c r="U4" s="6">
        <f>IF(OR(B4="",C4="Epic"),"",IF(N(L4)=0,IF(J4="","","ON HAND"),IF(OR(O4="Ordered",O4="Shipped",O4="Received"),O4,IF(S4="","NEED LEAD TIME",IF(T4&lt;0,"OVERDUE",IF(T4&lt;=Settings!$B$5,"ORDER SOON","OK"))))))</f>
        <v/>
      </c>
      <c r="V4" s="7" t="n"/>
    </row>
    <row r="5">
      <c r="A5" s="6">
        <f>IF(B5="","",IF(C5="Epic",IFERROR(INDEX(Lists!$A:$A,MATCH(B5,Lists!$B:$B,0)),"?"),1000+ROW()))</f>
        <v/>
      </c>
      <c r="B5" s="7">
        <f>Lists!B5</f>
        <v/>
      </c>
      <c r="C5" s="7" t="inlineStr">
        <is>
          <t>Epic</t>
        </is>
      </c>
      <c r="D5" s="7" t="n"/>
      <c r="E5" s="6">
        <f>IF(OR(C5="Epic",D5=""),"",IFERROR(INDEX(Lists!$A:$A,MATCH(D5,Lists!$B:$B,0)),""))</f>
        <v/>
      </c>
      <c r="F5" s="7" t="n"/>
      <c r="G5" s="7" t="n"/>
      <c r="H5" s="7" t="n"/>
      <c r="I5" s="7" t="n"/>
      <c r="J5" s="8" t="n"/>
      <c r="K5" s="8" t="n"/>
      <c r="L5" s="9">
        <f>IF(OR(C5="Epic",J5=""),"",MAX(0,J5-N(K5)))</f>
        <v/>
      </c>
      <c r="M5" s="10" t="n"/>
      <c r="N5" s="11">
        <f>IF(OR(L5="",M5=""),"",L5*M5)</f>
        <v/>
      </c>
      <c r="O5" s="7" t="n"/>
      <c r="P5" s="8" t="n"/>
      <c r="Q5" s="12" t="n"/>
      <c r="R5" s="13">
        <f>IF(OR(B5="",C5="Epic"),"",IF(Q5="",Settings!$B$3,Q5))</f>
        <v/>
      </c>
      <c r="S5" s="13">
        <f>IF(OR(R5="",P5="",N(L5)=0),"",R5-P5-Settings!$B$4)</f>
        <v/>
      </c>
      <c r="T5" s="9">
        <f>IF(S5="","",S5-TODAY())</f>
        <v/>
      </c>
      <c r="U5" s="6">
        <f>IF(OR(B5="",C5="Epic"),"",IF(N(L5)=0,IF(J5="","","ON HAND"),IF(OR(O5="Ordered",O5="Shipped",O5="Received"),O5,IF(S5="","NEED LEAD TIME",IF(T5&lt;0,"OVERDUE",IF(T5&lt;=Settings!$B$5,"ORDER SOON","OK"))))))</f>
        <v/>
      </c>
      <c r="V5" s="7" t="n"/>
    </row>
    <row r="6">
      <c r="A6" s="6">
        <f>IF(B6="","",IF(C6="Epic",IFERROR(INDEX(Lists!$A:$A,MATCH(B6,Lists!$B:$B,0)),"?"),1000+ROW()))</f>
        <v/>
      </c>
      <c r="B6" s="7">
        <f>Lists!B6</f>
        <v/>
      </c>
      <c r="C6" s="7" t="inlineStr">
        <is>
          <t>Epic</t>
        </is>
      </c>
      <c r="D6" s="7" t="n"/>
      <c r="E6" s="6">
        <f>IF(OR(C6="Epic",D6=""),"",IFERROR(INDEX(Lists!$A:$A,MATCH(D6,Lists!$B:$B,0)),""))</f>
        <v/>
      </c>
      <c r="F6" s="7" t="n"/>
      <c r="G6" s="7" t="n"/>
      <c r="H6" s="7" t="n"/>
      <c r="I6" s="7" t="n"/>
      <c r="J6" s="8" t="n"/>
      <c r="K6" s="8" t="n"/>
      <c r="L6" s="9">
        <f>IF(OR(C6="Epic",J6=""),"",MAX(0,J6-N(K6)))</f>
        <v/>
      </c>
      <c r="M6" s="10" t="n"/>
      <c r="N6" s="11">
        <f>IF(OR(L6="",M6=""),"",L6*M6)</f>
        <v/>
      </c>
      <c r="O6" s="7" t="n"/>
      <c r="P6" s="8" t="n"/>
      <c r="Q6" s="12" t="n"/>
      <c r="R6" s="13">
        <f>IF(OR(B6="",C6="Epic"),"",IF(Q6="",Settings!$B$3,Q6))</f>
        <v/>
      </c>
      <c r="S6" s="13">
        <f>IF(OR(R6="",P6="",N(L6)=0),"",R6-P6-Settings!$B$4)</f>
        <v/>
      </c>
      <c r="T6" s="9">
        <f>IF(S6="","",S6-TODAY())</f>
        <v/>
      </c>
      <c r="U6" s="6">
        <f>IF(OR(B6="",C6="Epic"),"",IF(N(L6)=0,IF(J6="","","ON HAND"),IF(OR(O6="Ordered",O6="Shipped",O6="Received"),O6,IF(S6="","NEED LEAD TIME",IF(T6&lt;0,"OVERDUE",IF(T6&lt;=Settings!$B$5,"ORDER SOON","OK"))))))</f>
        <v/>
      </c>
      <c r="V6" s="7" t="n"/>
    </row>
    <row r="7">
      <c r="A7" s="6">
        <f>IF(B7="","",IF(C7="Epic",IFERROR(INDEX(Lists!$A:$A,MATCH(B7,Lists!$B:$B,0)),"?"),1000+ROW()))</f>
        <v/>
      </c>
      <c r="B7" s="7">
        <f>Lists!B7</f>
        <v/>
      </c>
      <c r="C7" s="7" t="inlineStr">
        <is>
          <t>Epic</t>
        </is>
      </c>
      <c r="D7" s="7" t="n"/>
      <c r="E7" s="6">
        <f>IF(OR(C7="Epic",D7=""),"",IFERROR(INDEX(Lists!$A:$A,MATCH(D7,Lists!$B:$B,0)),""))</f>
        <v/>
      </c>
      <c r="F7" s="7" t="n"/>
      <c r="G7" s="7" t="n"/>
      <c r="H7" s="7" t="n"/>
      <c r="I7" s="7" t="n"/>
      <c r="J7" s="8" t="n"/>
      <c r="K7" s="8" t="n"/>
      <c r="L7" s="9">
        <f>IF(OR(C7="Epic",J7=""),"",MAX(0,J7-N(K7)))</f>
        <v/>
      </c>
      <c r="M7" s="10" t="n"/>
      <c r="N7" s="11">
        <f>IF(OR(L7="",M7=""),"",L7*M7)</f>
        <v/>
      </c>
      <c r="O7" s="7" t="n"/>
      <c r="P7" s="8" t="n"/>
      <c r="Q7" s="12" t="n"/>
      <c r="R7" s="13">
        <f>IF(OR(B7="",C7="Epic"),"",IF(Q7="",Settings!$B$3,Q7))</f>
        <v/>
      </c>
      <c r="S7" s="13">
        <f>IF(OR(R7="",P7="",N(L7)=0),"",R7-P7-Settings!$B$4)</f>
        <v/>
      </c>
      <c r="T7" s="9">
        <f>IF(S7="","",S7-TODAY())</f>
        <v/>
      </c>
      <c r="U7" s="6">
        <f>IF(OR(B7="",C7="Epic"),"",IF(N(L7)=0,IF(J7="","","ON HAND"),IF(OR(O7="Ordered",O7="Shipped",O7="Received"),O7,IF(S7="","NEED LEAD TIME",IF(T7&lt;0,"OVERDUE",IF(T7&lt;=Settings!$B$5,"ORDER SOON","OK"))))))</f>
        <v/>
      </c>
      <c r="V7" s="7" t="n"/>
    </row>
    <row r="8">
      <c r="A8" s="6">
        <f>IF(B8="","",IF(C8="Epic",IFERROR(INDEX(Lists!$A:$A,MATCH(B8,Lists!$B:$B,0)),"?"),1000+ROW()))</f>
        <v/>
      </c>
      <c r="B8" s="7">
        <f>Lists!B8</f>
        <v/>
      </c>
      <c r="C8" s="7" t="inlineStr">
        <is>
          <t>Epic</t>
        </is>
      </c>
      <c r="D8" s="7" t="n"/>
      <c r="E8" s="6">
        <f>IF(OR(C8="Epic",D8=""),"",IFERROR(INDEX(Lists!$A:$A,MATCH(D8,Lists!$B:$B,0)),""))</f>
        <v/>
      </c>
      <c r="F8" s="7" t="n"/>
      <c r="G8" s="7" t="n"/>
      <c r="H8" s="7" t="n"/>
      <c r="I8" s="7" t="n"/>
      <c r="J8" s="8" t="n"/>
      <c r="K8" s="8" t="n"/>
      <c r="L8" s="9">
        <f>IF(OR(C8="Epic",J8=""),"",MAX(0,J8-N(K8)))</f>
        <v/>
      </c>
      <c r="M8" s="10" t="n"/>
      <c r="N8" s="11">
        <f>IF(OR(L8="",M8=""),"",L8*M8)</f>
        <v/>
      </c>
      <c r="O8" s="7" t="n"/>
      <c r="P8" s="8" t="n"/>
      <c r="Q8" s="12" t="n"/>
      <c r="R8" s="13">
        <f>IF(OR(B8="",C8="Epic"),"",IF(Q8="",Settings!$B$3,Q8))</f>
        <v/>
      </c>
      <c r="S8" s="13">
        <f>IF(OR(R8="",P8="",N(L8)=0),"",R8-P8-Settings!$B$4)</f>
        <v/>
      </c>
      <c r="T8" s="9">
        <f>IF(S8="","",S8-TODAY())</f>
        <v/>
      </c>
      <c r="U8" s="6">
        <f>IF(OR(B8="",C8="Epic"),"",IF(N(L8)=0,IF(J8="","","ON HAND"),IF(OR(O8="Ordered",O8="Shipped",O8="Received"),O8,IF(S8="","NEED LEAD TIME",IF(T8&lt;0,"OVERDUE",IF(T8&lt;=Settings!$B$5,"ORDER SOON","OK"))))))</f>
        <v/>
      </c>
      <c r="V8" s="7" t="n"/>
    </row>
    <row r="9">
      <c r="A9" s="6">
        <f>IF(B9="","",IF(C9="Epic",IFERROR(INDEX(Lists!$A:$A,MATCH(B9,Lists!$B:$B,0)),"?"),1000+ROW()))</f>
        <v/>
      </c>
      <c r="B9" s="7">
        <f>Lists!B9</f>
        <v/>
      </c>
      <c r="C9" s="7" t="inlineStr">
        <is>
          <t>Epic</t>
        </is>
      </c>
      <c r="D9" s="7" t="n"/>
      <c r="E9" s="6">
        <f>IF(OR(C9="Epic",D9=""),"",IFERROR(INDEX(Lists!$A:$A,MATCH(D9,Lists!$B:$B,0)),""))</f>
        <v/>
      </c>
      <c r="F9" s="7" t="n"/>
      <c r="G9" s="7" t="n"/>
      <c r="H9" s="7" t="n"/>
      <c r="I9" s="7" t="n"/>
      <c r="J9" s="8" t="n"/>
      <c r="K9" s="8" t="n"/>
      <c r="L9" s="9">
        <f>IF(OR(C9="Epic",J9=""),"",MAX(0,J9-N(K9)))</f>
        <v/>
      </c>
      <c r="M9" s="10" t="n"/>
      <c r="N9" s="11">
        <f>IF(OR(L9="",M9=""),"",L9*M9)</f>
        <v/>
      </c>
      <c r="O9" s="7" t="n"/>
      <c r="P9" s="8" t="n"/>
      <c r="Q9" s="12" t="n"/>
      <c r="R9" s="13">
        <f>IF(OR(B9="",C9="Epic"),"",IF(Q9="",Settings!$B$3,Q9))</f>
        <v/>
      </c>
      <c r="S9" s="13">
        <f>IF(OR(R9="",P9="",N(L9)=0),"",R9-P9-Settings!$B$4)</f>
        <v/>
      </c>
      <c r="T9" s="9">
        <f>IF(S9="","",S9-TODAY())</f>
        <v/>
      </c>
      <c r="U9" s="6">
        <f>IF(OR(B9="",C9="Epic"),"",IF(N(L9)=0,IF(J9="","","ON HAND"),IF(OR(O9="Ordered",O9="Shipped",O9="Received"),O9,IF(S9="","NEED LEAD TIME",IF(T9&lt;0,"OVERDUE",IF(T9&lt;=Settings!$B$5,"ORDER SOON","OK"))))))</f>
        <v/>
      </c>
      <c r="V9" s="7" t="n"/>
    </row>
    <row r="10">
      <c r="A10" s="14">
        <f>IF(B10="","",IF(C10="Epic",IFERROR(INDEX(Lists!$A:$A,MATCH(B10,Lists!$B:$B,0)),"?"),1000+ROW()))</f>
        <v/>
      </c>
      <c r="B10" s="15" t="inlineStr">
        <is>
          <t>EXAMPLE – Charge controller w/ dump load</t>
        </is>
      </c>
      <c r="C10" s="15" t="inlineStr">
        <is>
          <t>Task</t>
        </is>
      </c>
      <c r="D10" s="15" t="inlineStr">
        <is>
          <t>Electrical &amp; Power Conversion</t>
        </is>
      </c>
      <c r="E10" s="14">
        <f>IF(OR(C10="Epic",D10=""),"",IFERROR(INDEX(Lists!$A:$A,MATCH(D10,Lists!$B:$B,0)),""))</f>
        <v/>
      </c>
      <c r="F10" s="15" t="inlineStr">
        <is>
          <t>48 V wind/solar hybrid, 1.5 kW, w/ diversion load</t>
        </is>
      </c>
      <c r="G10" s="15" t="n"/>
      <c r="H10" s="15" t="n"/>
      <c r="I10" s="15" t="n"/>
      <c r="J10" s="16" t="n">
        <v>1</v>
      </c>
      <c r="K10" s="16" t="n">
        <v>1</v>
      </c>
      <c r="L10" s="17">
        <f>IF(OR(C10="Epic",J10=""),"",MAX(0,J10-N(K10)))</f>
        <v/>
      </c>
      <c r="M10" s="18" t="n"/>
      <c r="N10" s="19">
        <f>IF(OR(L10="",M10=""),"",L10*M10)</f>
        <v/>
      </c>
      <c r="O10" s="15" t="inlineStr">
        <is>
          <t>On hand</t>
        </is>
      </c>
      <c r="P10" s="16" t="n"/>
      <c r="Q10" s="20" t="n"/>
      <c r="R10" s="21">
        <f>IF(OR(B10="",C10="Epic"),"",IF(Q10="",Settings!$B$3,Q10))</f>
        <v/>
      </c>
      <c r="S10" s="21">
        <f>IF(OR(R10="",P10="",N(L10)=0),"",R10-P10-Settings!$B$4)</f>
        <v/>
      </c>
      <c r="T10" s="17">
        <f>IF(S10="","",S10-TODAY())</f>
        <v/>
      </c>
      <c r="U10" s="14">
        <f>IF(OR(B10="",C10="Epic"),"",IF(N(L10)=0,IF(J10="","","ON HAND"),IF(OR(O10="Ordered",O10="Shipped",O10="Received"),O10,IF(S10="","NEED LEAD TIME",IF(T10&lt;0,"OVERDUE",IF(T10&lt;=Settings!$B$5,"ORDER SOON","OK"))))))</f>
        <v/>
      </c>
      <c r="V10" s="15" t="inlineStr">
        <is>
          <t>electrical</t>
        </is>
      </c>
    </row>
    <row r="11">
      <c r="A11" s="14">
        <f>IF(B11="","",IF(C11="Epic",IFERROR(INDEX(Lists!$A:$A,MATCH(B11,Lists!$B:$B,0)),"?"),1000+ROW()))</f>
        <v/>
      </c>
      <c r="B11" s="15" t="inlineStr">
        <is>
          <t>EXAMPLE – Slewing ring bearing (yaw)</t>
        </is>
      </c>
      <c r="C11" s="15" t="inlineStr">
        <is>
          <t>Task</t>
        </is>
      </c>
      <c r="D11" s="15" t="inlineStr">
        <is>
          <t>Yaw &amp; Furling</t>
        </is>
      </c>
      <c r="E11" s="14">
        <f>IF(OR(C11="Epic",D11=""),"",IFERROR(INDEX(Lists!$A:$A,MATCH(D11,Lists!$B:$B,0)),""))</f>
        <v/>
      </c>
      <c r="F11" s="15" t="inlineStr">
        <is>
          <t>~300 mm ID, 4-point contact, ungeared</t>
        </is>
      </c>
      <c r="G11" s="15" t="inlineStr">
        <is>
          <t>SR-300-4P</t>
        </is>
      </c>
      <c r="H11" s="15" t="inlineStr">
        <is>
          <t>Supplier TBD</t>
        </is>
      </c>
      <c r="I11" s="15" t="n"/>
      <c r="J11" s="16" t="n">
        <v>1</v>
      </c>
      <c r="K11" s="16" t="n">
        <v>0</v>
      </c>
      <c r="L11" s="17">
        <f>IF(OR(C11="Epic",J11=""),"",MAX(0,J11-N(K11)))</f>
        <v/>
      </c>
      <c r="M11" s="18" t="n">
        <v>185</v>
      </c>
      <c r="N11" s="19">
        <f>IF(OR(L11="",M11=""),"",L11*M11)</f>
        <v/>
      </c>
      <c r="O11" s="15" t="inlineStr">
        <is>
          <t>Quoted</t>
        </is>
      </c>
      <c r="P11" s="16" t="n">
        <v>42</v>
      </c>
      <c r="Q11" s="20" t="n"/>
      <c r="R11" s="21">
        <f>IF(OR(B11="",C11="Epic"),"",IF(Q11="",Settings!$B$3,Q11))</f>
        <v/>
      </c>
      <c r="S11" s="21">
        <f>IF(OR(R11="",P11="",N(L11)=0),"",R11-P11-Settings!$B$4)</f>
        <v/>
      </c>
      <c r="T11" s="17">
        <f>IF(S11="","",S11-TODAY())</f>
        <v/>
      </c>
      <c r="U11" s="14">
        <f>IF(OR(B11="",C11="Epic"),"",IF(N(L11)=0,IF(J11="","","ON HAND"),IF(OR(O11="Ordered",O11="Shipped",O11="Received"),O11,IF(S11="","NEED LEAD TIME",IF(T11&lt;0,"OVERDUE",IF(T11&lt;=Settings!$B$5,"ORDER SOON","OK"))))))</f>
        <v/>
      </c>
      <c r="V11" s="15" t="inlineStr">
        <is>
          <t>long-lead</t>
        </is>
      </c>
    </row>
    <row r="12">
      <c r="A12" s="14">
        <f>IF(B12="","",IF(C12="Epic",IFERROR(INDEX(Lists!$A:$A,MATCH(B12,Lists!$B:$B,0)),"?"),1000+ROW()))</f>
        <v/>
      </c>
      <c r="B12" s="15" t="n"/>
      <c r="C12" s="15" t="n"/>
      <c r="D12" s="15" t="n"/>
      <c r="E12" s="14">
        <f>IF(OR(C12="Epic",D12=""),"",IFERROR(INDEX(Lists!$A:$A,MATCH(D12,Lists!$B:$B,0)),""))</f>
        <v/>
      </c>
      <c r="F12" s="15" t="n"/>
      <c r="G12" s="15" t="n"/>
      <c r="H12" s="15" t="n"/>
      <c r="I12" s="15" t="n"/>
      <c r="J12" s="16" t="n"/>
      <c r="K12" s="16" t="n"/>
      <c r="L12" s="17">
        <f>IF(OR(C12="Epic",J12=""),"",MAX(0,J12-N(K12)))</f>
        <v/>
      </c>
      <c r="M12" s="18" t="n"/>
      <c r="N12" s="19">
        <f>IF(OR(L12="",M12=""),"",L12*M12)</f>
        <v/>
      </c>
      <c r="O12" s="15" t="n"/>
      <c r="P12" s="16" t="n"/>
      <c r="Q12" s="20" t="n"/>
      <c r="R12" s="21">
        <f>IF(OR(B12="",C12="Epic"),"",IF(Q12="",Settings!$B$3,Q12))</f>
        <v/>
      </c>
      <c r="S12" s="21">
        <f>IF(OR(R12="",P12="",N(L12)=0),"",R12-P12-Settings!$B$4)</f>
        <v/>
      </c>
      <c r="T12" s="17">
        <f>IF(S12="","",S12-TODAY())</f>
        <v/>
      </c>
      <c r="U12" s="14">
        <f>IF(OR(B12="",C12="Epic"),"",IF(N(L12)=0,IF(J12="","","ON HAND"),IF(OR(O12="Ordered",O12="Shipped",O12="Received"),O12,IF(S12="","NEED LEAD TIME",IF(T12&lt;0,"OVERDUE",IF(T12&lt;=Settings!$B$5,"ORDER SOON","OK"))))))</f>
        <v/>
      </c>
      <c r="V12" s="15" t="n"/>
    </row>
    <row r="13">
      <c r="A13" s="14">
        <f>IF(B13="","",IF(C13="Epic",IFERROR(INDEX(Lists!$A:$A,MATCH(B13,Lists!$B:$B,0)),"?"),1000+ROW()))</f>
        <v/>
      </c>
      <c r="B13" s="15" t="n"/>
      <c r="C13" s="15" t="n"/>
      <c r="D13" s="15" t="n"/>
      <c r="E13" s="14">
        <f>IF(OR(C13="Epic",D13=""),"",IFERROR(INDEX(Lists!$A:$A,MATCH(D13,Lists!$B:$B,0)),""))</f>
        <v/>
      </c>
      <c r="F13" s="15" t="n"/>
      <c r="G13" s="15" t="n"/>
      <c r="H13" s="15" t="n"/>
      <c r="I13" s="15" t="n"/>
      <c r="J13" s="16" t="n"/>
      <c r="K13" s="16" t="n"/>
      <c r="L13" s="17">
        <f>IF(OR(C13="Epic",J13=""),"",MAX(0,J13-N(K13)))</f>
        <v/>
      </c>
      <c r="M13" s="18" t="n"/>
      <c r="N13" s="19">
        <f>IF(OR(L13="",M13=""),"",L13*M13)</f>
        <v/>
      </c>
      <c r="O13" s="15" t="n"/>
      <c r="P13" s="16" t="n"/>
      <c r="Q13" s="20" t="n"/>
      <c r="R13" s="21">
        <f>IF(OR(B13="",C13="Epic"),"",IF(Q13="",Settings!$B$3,Q13))</f>
        <v/>
      </c>
      <c r="S13" s="21">
        <f>IF(OR(R13="",P13="",N(L13)=0),"",R13-P13-Settings!$B$4)</f>
        <v/>
      </c>
      <c r="T13" s="17">
        <f>IF(S13="","",S13-TODAY())</f>
        <v/>
      </c>
      <c r="U13" s="14">
        <f>IF(OR(B13="",C13="Epic"),"",IF(N(L13)=0,IF(J13="","","ON HAND"),IF(OR(O13="Ordered",O13="Shipped",O13="Received"),O13,IF(S13="","NEED LEAD TIME",IF(T13&lt;0,"OVERDUE",IF(T13&lt;=Settings!$B$5,"ORDER SOON","OK"))))))</f>
        <v/>
      </c>
      <c r="V13" s="15" t="n"/>
    </row>
    <row r="14">
      <c r="A14" s="14">
        <f>IF(B14="","",IF(C14="Epic",IFERROR(INDEX(Lists!$A:$A,MATCH(B14,Lists!$B:$B,0)),"?"),1000+ROW()))</f>
        <v/>
      </c>
      <c r="B14" s="15" t="n"/>
      <c r="C14" s="15" t="n"/>
      <c r="D14" s="15" t="n"/>
      <c r="E14" s="14">
        <f>IF(OR(C14="Epic",D14=""),"",IFERROR(INDEX(Lists!$A:$A,MATCH(D14,Lists!$B:$B,0)),""))</f>
        <v/>
      </c>
      <c r="F14" s="15" t="n"/>
      <c r="G14" s="15" t="n"/>
      <c r="H14" s="15" t="n"/>
      <c r="I14" s="15" t="n"/>
      <c r="J14" s="16" t="n"/>
      <c r="K14" s="16" t="n"/>
      <c r="L14" s="17">
        <f>IF(OR(C14="Epic",J14=""),"",MAX(0,J14-N(K14)))</f>
        <v/>
      </c>
      <c r="M14" s="18" t="n"/>
      <c r="N14" s="19">
        <f>IF(OR(L14="",M14=""),"",L14*M14)</f>
        <v/>
      </c>
      <c r="O14" s="15" t="n"/>
      <c r="P14" s="16" t="n"/>
      <c r="Q14" s="20" t="n"/>
      <c r="R14" s="21">
        <f>IF(OR(B14="",C14="Epic"),"",IF(Q14="",Settings!$B$3,Q14))</f>
        <v/>
      </c>
      <c r="S14" s="21">
        <f>IF(OR(R14="",P14="",N(L14)=0),"",R14-P14-Settings!$B$4)</f>
        <v/>
      </c>
      <c r="T14" s="17">
        <f>IF(S14="","",S14-TODAY())</f>
        <v/>
      </c>
      <c r="U14" s="14">
        <f>IF(OR(B14="",C14="Epic"),"",IF(N(L14)=0,IF(J14="","","ON HAND"),IF(OR(O14="Ordered",O14="Shipped",O14="Received"),O14,IF(S14="","NEED LEAD TIME",IF(T14&lt;0,"OVERDUE",IF(T14&lt;=Settings!$B$5,"ORDER SOON","OK"))))))</f>
        <v/>
      </c>
      <c r="V14" s="15" t="n"/>
    </row>
    <row r="15">
      <c r="A15" s="14">
        <f>IF(B15="","",IF(C15="Epic",IFERROR(INDEX(Lists!$A:$A,MATCH(B15,Lists!$B:$B,0)),"?"),1000+ROW()))</f>
        <v/>
      </c>
      <c r="B15" s="15" t="n"/>
      <c r="C15" s="15" t="n"/>
      <c r="D15" s="15" t="n"/>
      <c r="E15" s="14">
        <f>IF(OR(C15="Epic",D15=""),"",IFERROR(INDEX(Lists!$A:$A,MATCH(D15,Lists!$B:$B,0)),""))</f>
        <v/>
      </c>
      <c r="F15" s="15" t="n"/>
      <c r="G15" s="15" t="n"/>
      <c r="H15" s="15" t="n"/>
      <c r="I15" s="15" t="n"/>
      <c r="J15" s="16" t="n"/>
      <c r="K15" s="16" t="n"/>
      <c r="L15" s="17">
        <f>IF(OR(C15="Epic",J15=""),"",MAX(0,J15-N(K15)))</f>
        <v/>
      </c>
      <c r="M15" s="18" t="n"/>
      <c r="N15" s="19">
        <f>IF(OR(L15="",M15=""),"",L15*M15)</f>
        <v/>
      </c>
      <c r="O15" s="15" t="n"/>
      <c r="P15" s="16" t="n"/>
      <c r="Q15" s="20" t="n"/>
      <c r="R15" s="21">
        <f>IF(OR(B15="",C15="Epic"),"",IF(Q15="",Settings!$B$3,Q15))</f>
        <v/>
      </c>
      <c r="S15" s="21">
        <f>IF(OR(R15="",P15="",N(L15)=0),"",R15-P15-Settings!$B$4)</f>
        <v/>
      </c>
      <c r="T15" s="17">
        <f>IF(S15="","",S15-TODAY())</f>
        <v/>
      </c>
      <c r="U15" s="14">
        <f>IF(OR(B15="",C15="Epic"),"",IF(N(L15)=0,IF(J15="","","ON HAND"),IF(OR(O15="Ordered",O15="Shipped",O15="Received"),O15,IF(S15="","NEED LEAD TIME",IF(T15&lt;0,"OVERDUE",IF(T15&lt;=Settings!$B$5,"ORDER SOON","OK"))))))</f>
        <v/>
      </c>
      <c r="V15" s="15" t="n"/>
    </row>
    <row r="16">
      <c r="A16" s="14">
        <f>IF(B16="","",IF(C16="Epic",IFERROR(INDEX(Lists!$A:$A,MATCH(B16,Lists!$B:$B,0)),"?"),1000+ROW()))</f>
        <v/>
      </c>
      <c r="B16" s="15" t="n"/>
      <c r="C16" s="15" t="n"/>
      <c r="D16" s="15" t="n"/>
      <c r="E16" s="14">
        <f>IF(OR(C16="Epic",D16=""),"",IFERROR(INDEX(Lists!$A:$A,MATCH(D16,Lists!$B:$B,0)),""))</f>
        <v/>
      </c>
      <c r="F16" s="15" t="n"/>
      <c r="G16" s="15" t="n"/>
      <c r="H16" s="15" t="n"/>
      <c r="I16" s="15" t="n"/>
      <c r="J16" s="16" t="n"/>
      <c r="K16" s="16" t="n"/>
      <c r="L16" s="17">
        <f>IF(OR(C16="Epic",J16=""),"",MAX(0,J16-N(K16)))</f>
        <v/>
      </c>
      <c r="M16" s="18" t="n"/>
      <c r="N16" s="19">
        <f>IF(OR(L16="",M16=""),"",L16*M16)</f>
        <v/>
      </c>
      <c r="O16" s="15" t="n"/>
      <c r="P16" s="16" t="n"/>
      <c r="Q16" s="20" t="n"/>
      <c r="R16" s="21">
        <f>IF(OR(B16="",C16="Epic"),"",IF(Q16="",Settings!$B$3,Q16))</f>
        <v/>
      </c>
      <c r="S16" s="21">
        <f>IF(OR(R16="",P16="",N(L16)=0),"",R16-P16-Settings!$B$4)</f>
        <v/>
      </c>
      <c r="T16" s="17">
        <f>IF(S16="","",S16-TODAY())</f>
        <v/>
      </c>
      <c r="U16" s="14">
        <f>IF(OR(B16="",C16="Epic"),"",IF(N(L16)=0,IF(J16="","","ON HAND"),IF(OR(O16="Ordered",O16="Shipped",O16="Received"),O16,IF(S16="","NEED LEAD TIME",IF(T16&lt;0,"OVERDUE",IF(T16&lt;=Settings!$B$5,"ORDER SOON","OK"))))))</f>
        <v/>
      </c>
      <c r="V16" s="15" t="n"/>
    </row>
    <row r="17">
      <c r="A17" s="14">
        <f>IF(B17="","",IF(C17="Epic",IFERROR(INDEX(Lists!$A:$A,MATCH(B17,Lists!$B:$B,0)),"?"),1000+ROW()))</f>
        <v/>
      </c>
      <c r="B17" s="15" t="n"/>
      <c r="C17" s="15" t="n"/>
      <c r="D17" s="15" t="n"/>
      <c r="E17" s="14">
        <f>IF(OR(C17="Epic",D17=""),"",IFERROR(INDEX(Lists!$A:$A,MATCH(D17,Lists!$B:$B,0)),""))</f>
        <v/>
      </c>
      <c r="F17" s="15" t="n"/>
      <c r="G17" s="15" t="n"/>
      <c r="H17" s="15" t="n"/>
      <c r="I17" s="15" t="n"/>
      <c r="J17" s="16" t="n"/>
      <c r="K17" s="16" t="n"/>
      <c r="L17" s="17">
        <f>IF(OR(C17="Epic",J17=""),"",MAX(0,J17-N(K17)))</f>
        <v/>
      </c>
      <c r="M17" s="18" t="n"/>
      <c r="N17" s="19">
        <f>IF(OR(L17="",M17=""),"",L17*M17)</f>
        <v/>
      </c>
      <c r="O17" s="15" t="n"/>
      <c r="P17" s="16" t="n"/>
      <c r="Q17" s="20" t="n"/>
      <c r="R17" s="21">
        <f>IF(OR(B17="",C17="Epic"),"",IF(Q17="",Settings!$B$3,Q17))</f>
        <v/>
      </c>
      <c r="S17" s="21">
        <f>IF(OR(R17="",P17="",N(L17)=0),"",R17-P17-Settings!$B$4)</f>
        <v/>
      </c>
      <c r="T17" s="17">
        <f>IF(S17="","",S17-TODAY())</f>
        <v/>
      </c>
      <c r="U17" s="14">
        <f>IF(OR(B17="",C17="Epic"),"",IF(N(L17)=0,IF(J17="","","ON HAND"),IF(OR(O17="Ordered",O17="Shipped",O17="Received"),O17,IF(S17="","NEED LEAD TIME",IF(T17&lt;0,"OVERDUE",IF(T17&lt;=Settings!$B$5,"ORDER SOON","OK"))))))</f>
        <v/>
      </c>
      <c r="V17" s="15" t="n"/>
    </row>
    <row r="18">
      <c r="A18" s="14">
        <f>IF(B18="","",IF(C18="Epic",IFERROR(INDEX(Lists!$A:$A,MATCH(B18,Lists!$B:$B,0)),"?"),1000+ROW()))</f>
        <v/>
      </c>
      <c r="B18" s="15" t="n"/>
      <c r="C18" s="15" t="n"/>
      <c r="D18" s="15" t="n"/>
      <c r="E18" s="14">
        <f>IF(OR(C18="Epic",D18=""),"",IFERROR(INDEX(Lists!$A:$A,MATCH(D18,Lists!$B:$B,0)),""))</f>
        <v/>
      </c>
      <c r="F18" s="15" t="n"/>
      <c r="G18" s="15" t="n"/>
      <c r="H18" s="15" t="n"/>
      <c r="I18" s="15" t="n"/>
      <c r="J18" s="16" t="n"/>
      <c r="K18" s="16" t="n"/>
      <c r="L18" s="17">
        <f>IF(OR(C18="Epic",J18=""),"",MAX(0,J18-N(K18)))</f>
        <v/>
      </c>
      <c r="M18" s="18" t="n"/>
      <c r="N18" s="19">
        <f>IF(OR(L18="",M18=""),"",L18*M18)</f>
        <v/>
      </c>
      <c r="O18" s="15" t="n"/>
      <c r="P18" s="16" t="n"/>
      <c r="Q18" s="20" t="n"/>
      <c r="R18" s="21">
        <f>IF(OR(B18="",C18="Epic"),"",IF(Q18="",Settings!$B$3,Q18))</f>
        <v/>
      </c>
      <c r="S18" s="21">
        <f>IF(OR(R18="",P18="",N(L18)=0),"",R18-P18-Settings!$B$4)</f>
        <v/>
      </c>
      <c r="T18" s="17">
        <f>IF(S18="","",S18-TODAY())</f>
        <v/>
      </c>
      <c r="U18" s="14">
        <f>IF(OR(B18="",C18="Epic"),"",IF(N(L18)=0,IF(J18="","","ON HAND"),IF(OR(O18="Ordered",O18="Shipped",O18="Received"),O18,IF(S18="","NEED LEAD TIME",IF(T18&lt;0,"OVERDUE",IF(T18&lt;=Settings!$B$5,"ORDER SOON","OK"))))))</f>
        <v/>
      </c>
      <c r="V18" s="15" t="n"/>
    </row>
    <row r="19">
      <c r="A19" s="14">
        <f>IF(B19="","",IF(C19="Epic",IFERROR(INDEX(Lists!$A:$A,MATCH(B19,Lists!$B:$B,0)),"?"),1000+ROW()))</f>
        <v/>
      </c>
      <c r="B19" s="15" t="n"/>
      <c r="C19" s="15" t="n"/>
      <c r="D19" s="15" t="n"/>
      <c r="E19" s="14">
        <f>IF(OR(C19="Epic",D19=""),"",IFERROR(INDEX(Lists!$A:$A,MATCH(D19,Lists!$B:$B,0)),""))</f>
        <v/>
      </c>
      <c r="F19" s="15" t="n"/>
      <c r="G19" s="15" t="n"/>
      <c r="H19" s="15" t="n"/>
      <c r="I19" s="15" t="n"/>
      <c r="J19" s="16" t="n"/>
      <c r="K19" s="16" t="n"/>
      <c r="L19" s="17">
        <f>IF(OR(C19="Epic",J19=""),"",MAX(0,J19-N(K19)))</f>
        <v/>
      </c>
      <c r="M19" s="18" t="n"/>
      <c r="N19" s="19">
        <f>IF(OR(L19="",M19=""),"",L19*M19)</f>
        <v/>
      </c>
      <c r="O19" s="15" t="n"/>
      <c r="P19" s="16" t="n"/>
      <c r="Q19" s="20" t="n"/>
      <c r="R19" s="21">
        <f>IF(OR(B19="",C19="Epic"),"",IF(Q19="",Settings!$B$3,Q19))</f>
        <v/>
      </c>
      <c r="S19" s="21">
        <f>IF(OR(R19="",P19="",N(L19)=0),"",R19-P19-Settings!$B$4)</f>
        <v/>
      </c>
      <c r="T19" s="17">
        <f>IF(S19="","",S19-TODAY())</f>
        <v/>
      </c>
      <c r="U19" s="14">
        <f>IF(OR(B19="",C19="Epic"),"",IF(N(L19)=0,IF(J19="","","ON HAND"),IF(OR(O19="Ordered",O19="Shipped",O19="Received"),O19,IF(S19="","NEED LEAD TIME",IF(T19&lt;0,"OVERDUE",IF(T19&lt;=Settings!$B$5,"ORDER SOON","OK"))))))</f>
        <v/>
      </c>
      <c r="V19" s="15" t="n"/>
    </row>
    <row r="20">
      <c r="A20" s="14">
        <f>IF(B20="","",IF(C20="Epic",IFERROR(INDEX(Lists!$A:$A,MATCH(B20,Lists!$B:$B,0)),"?"),1000+ROW()))</f>
        <v/>
      </c>
      <c r="B20" s="15" t="n"/>
      <c r="C20" s="15" t="n"/>
      <c r="D20" s="15" t="n"/>
      <c r="E20" s="14">
        <f>IF(OR(C20="Epic",D20=""),"",IFERROR(INDEX(Lists!$A:$A,MATCH(D20,Lists!$B:$B,0)),""))</f>
        <v/>
      </c>
      <c r="F20" s="15" t="n"/>
      <c r="G20" s="15" t="n"/>
      <c r="H20" s="15" t="n"/>
      <c r="I20" s="15" t="n"/>
      <c r="J20" s="16" t="n"/>
      <c r="K20" s="16" t="n"/>
      <c r="L20" s="17">
        <f>IF(OR(C20="Epic",J20=""),"",MAX(0,J20-N(K20)))</f>
        <v/>
      </c>
      <c r="M20" s="18" t="n"/>
      <c r="N20" s="19">
        <f>IF(OR(L20="",M20=""),"",L20*M20)</f>
        <v/>
      </c>
      <c r="O20" s="15" t="n"/>
      <c r="P20" s="16" t="n"/>
      <c r="Q20" s="20" t="n"/>
      <c r="R20" s="21">
        <f>IF(OR(B20="",C20="Epic"),"",IF(Q20="",Settings!$B$3,Q20))</f>
        <v/>
      </c>
      <c r="S20" s="21">
        <f>IF(OR(R20="",P20="",N(L20)=0),"",R20-P20-Settings!$B$4)</f>
        <v/>
      </c>
      <c r="T20" s="17">
        <f>IF(S20="","",S20-TODAY())</f>
        <v/>
      </c>
      <c r="U20" s="14">
        <f>IF(OR(B20="",C20="Epic"),"",IF(N(L20)=0,IF(J20="","","ON HAND"),IF(OR(O20="Ordered",O20="Shipped",O20="Received"),O20,IF(S20="","NEED LEAD TIME",IF(T20&lt;0,"OVERDUE",IF(T20&lt;=Settings!$B$5,"ORDER SOON","OK"))))))</f>
        <v/>
      </c>
      <c r="V20" s="15" t="n"/>
    </row>
    <row r="21">
      <c r="A21" s="14">
        <f>IF(B21="","",IF(C21="Epic",IFERROR(INDEX(Lists!$A:$A,MATCH(B21,Lists!$B:$B,0)),"?"),1000+ROW()))</f>
        <v/>
      </c>
      <c r="B21" s="15" t="n"/>
      <c r="C21" s="15" t="n"/>
      <c r="D21" s="15" t="n"/>
      <c r="E21" s="14">
        <f>IF(OR(C21="Epic",D21=""),"",IFERROR(INDEX(Lists!$A:$A,MATCH(D21,Lists!$B:$B,0)),""))</f>
        <v/>
      </c>
      <c r="F21" s="15" t="n"/>
      <c r="G21" s="15" t="n"/>
      <c r="H21" s="15" t="n"/>
      <c r="I21" s="15" t="n"/>
      <c r="J21" s="16" t="n"/>
      <c r="K21" s="16" t="n"/>
      <c r="L21" s="17">
        <f>IF(OR(C21="Epic",J21=""),"",MAX(0,J21-N(K21)))</f>
        <v/>
      </c>
      <c r="M21" s="18" t="n"/>
      <c r="N21" s="19">
        <f>IF(OR(L21="",M21=""),"",L21*M21)</f>
        <v/>
      </c>
      <c r="O21" s="15" t="n"/>
      <c r="P21" s="16" t="n"/>
      <c r="Q21" s="20" t="n"/>
      <c r="R21" s="21">
        <f>IF(OR(B21="",C21="Epic"),"",IF(Q21="",Settings!$B$3,Q21))</f>
        <v/>
      </c>
      <c r="S21" s="21">
        <f>IF(OR(R21="",P21="",N(L21)=0),"",R21-P21-Settings!$B$4)</f>
        <v/>
      </c>
      <c r="T21" s="17">
        <f>IF(S21="","",S21-TODAY())</f>
        <v/>
      </c>
      <c r="U21" s="14">
        <f>IF(OR(B21="",C21="Epic"),"",IF(N(L21)=0,IF(J21="","","ON HAND"),IF(OR(O21="Ordered",O21="Shipped",O21="Received"),O21,IF(S21="","NEED LEAD TIME",IF(T21&lt;0,"OVERDUE",IF(T21&lt;=Settings!$B$5,"ORDER SOON","OK"))))))</f>
        <v/>
      </c>
      <c r="V21" s="15" t="n"/>
    </row>
    <row r="22">
      <c r="A22" s="14">
        <f>IF(B22="","",IF(C22="Epic",IFERROR(INDEX(Lists!$A:$A,MATCH(B22,Lists!$B:$B,0)),"?"),1000+ROW()))</f>
        <v/>
      </c>
      <c r="B22" s="15" t="n"/>
      <c r="C22" s="15" t="n"/>
      <c r="D22" s="15" t="n"/>
      <c r="E22" s="14">
        <f>IF(OR(C22="Epic",D22=""),"",IFERROR(INDEX(Lists!$A:$A,MATCH(D22,Lists!$B:$B,0)),""))</f>
        <v/>
      </c>
      <c r="F22" s="15" t="n"/>
      <c r="G22" s="15" t="n"/>
      <c r="H22" s="15" t="n"/>
      <c r="I22" s="15" t="n"/>
      <c r="J22" s="16" t="n"/>
      <c r="K22" s="16" t="n"/>
      <c r="L22" s="17">
        <f>IF(OR(C22="Epic",J22=""),"",MAX(0,J22-N(K22)))</f>
        <v/>
      </c>
      <c r="M22" s="18" t="n"/>
      <c r="N22" s="19">
        <f>IF(OR(L22="",M22=""),"",L22*M22)</f>
        <v/>
      </c>
      <c r="O22" s="15" t="n"/>
      <c r="P22" s="16" t="n"/>
      <c r="Q22" s="20" t="n"/>
      <c r="R22" s="21">
        <f>IF(OR(B22="",C22="Epic"),"",IF(Q22="",Settings!$B$3,Q22))</f>
        <v/>
      </c>
      <c r="S22" s="21">
        <f>IF(OR(R22="",P22="",N(L22)=0),"",R22-P22-Settings!$B$4)</f>
        <v/>
      </c>
      <c r="T22" s="17">
        <f>IF(S22="","",S22-TODAY())</f>
        <v/>
      </c>
      <c r="U22" s="14">
        <f>IF(OR(B22="",C22="Epic"),"",IF(N(L22)=0,IF(J22="","","ON HAND"),IF(OR(O22="Ordered",O22="Shipped",O22="Received"),O22,IF(S22="","NEED LEAD TIME",IF(T22&lt;0,"OVERDUE",IF(T22&lt;=Settings!$B$5,"ORDER SOON","OK"))))))</f>
        <v/>
      </c>
      <c r="V22" s="15" t="n"/>
    </row>
    <row r="23">
      <c r="A23" s="14">
        <f>IF(B23="","",IF(C23="Epic",IFERROR(INDEX(Lists!$A:$A,MATCH(B23,Lists!$B:$B,0)),"?"),1000+ROW()))</f>
        <v/>
      </c>
      <c r="B23" s="15" t="n"/>
      <c r="C23" s="15" t="n"/>
      <c r="D23" s="15" t="n"/>
      <c r="E23" s="14">
        <f>IF(OR(C23="Epic",D23=""),"",IFERROR(INDEX(Lists!$A:$A,MATCH(D23,Lists!$B:$B,0)),""))</f>
        <v/>
      </c>
      <c r="F23" s="15" t="n"/>
      <c r="G23" s="15" t="n"/>
      <c r="H23" s="15" t="n"/>
      <c r="I23" s="15" t="n"/>
      <c r="J23" s="16" t="n"/>
      <c r="K23" s="16" t="n"/>
      <c r="L23" s="17">
        <f>IF(OR(C23="Epic",J23=""),"",MAX(0,J23-N(K23)))</f>
        <v/>
      </c>
      <c r="M23" s="18" t="n"/>
      <c r="N23" s="19">
        <f>IF(OR(L23="",M23=""),"",L23*M23)</f>
        <v/>
      </c>
      <c r="O23" s="15" t="n"/>
      <c r="P23" s="16" t="n"/>
      <c r="Q23" s="20" t="n"/>
      <c r="R23" s="21">
        <f>IF(OR(B23="",C23="Epic"),"",IF(Q23="",Settings!$B$3,Q23))</f>
        <v/>
      </c>
      <c r="S23" s="21">
        <f>IF(OR(R23="",P23="",N(L23)=0),"",R23-P23-Settings!$B$4)</f>
        <v/>
      </c>
      <c r="T23" s="17">
        <f>IF(S23="","",S23-TODAY())</f>
        <v/>
      </c>
      <c r="U23" s="14">
        <f>IF(OR(B23="",C23="Epic"),"",IF(N(L23)=0,IF(J23="","","ON HAND"),IF(OR(O23="Ordered",O23="Shipped",O23="Received"),O23,IF(S23="","NEED LEAD TIME",IF(T23&lt;0,"OVERDUE",IF(T23&lt;=Settings!$B$5,"ORDER SOON","OK"))))))</f>
        <v/>
      </c>
      <c r="V23" s="15" t="n"/>
    </row>
    <row r="24">
      <c r="A24" s="14">
        <f>IF(B24="","",IF(C24="Epic",IFERROR(INDEX(Lists!$A:$A,MATCH(B24,Lists!$B:$B,0)),"?"),1000+ROW()))</f>
        <v/>
      </c>
      <c r="B24" s="15" t="n"/>
      <c r="C24" s="15" t="n"/>
      <c r="D24" s="15" t="n"/>
      <c r="E24" s="14">
        <f>IF(OR(C24="Epic",D24=""),"",IFERROR(INDEX(Lists!$A:$A,MATCH(D24,Lists!$B:$B,0)),""))</f>
        <v/>
      </c>
      <c r="F24" s="15" t="n"/>
      <c r="G24" s="15" t="n"/>
      <c r="H24" s="15" t="n"/>
      <c r="I24" s="15" t="n"/>
      <c r="J24" s="16" t="n"/>
      <c r="K24" s="16" t="n"/>
      <c r="L24" s="17">
        <f>IF(OR(C24="Epic",J24=""),"",MAX(0,J24-N(K24)))</f>
        <v/>
      </c>
      <c r="M24" s="18" t="n"/>
      <c r="N24" s="19">
        <f>IF(OR(L24="",M24=""),"",L24*M24)</f>
        <v/>
      </c>
      <c r="O24" s="15" t="n"/>
      <c r="P24" s="16" t="n"/>
      <c r="Q24" s="20" t="n"/>
      <c r="R24" s="21">
        <f>IF(OR(B24="",C24="Epic"),"",IF(Q24="",Settings!$B$3,Q24))</f>
        <v/>
      </c>
      <c r="S24" s="21">
        <f>IF(OR(R24="",P24="",N(L24)=0),"",R24-P24-Settings!$B$4)</f>
        <v/>
      </c>
      <c r="T24" s="17">
        <f>IF(S24="","",S24-TODAY())</f>
        <v/>
      </c>
      <c r="U24" s="14">
        <f>IF(OR(B24="",C24="Epic"),"",IF(N(L24)=0,IF(J24="","","ON HAND"),IF(OR(O24="Ordered",O24="Shipped",O24="Received"),O24,IF(S24="","NEED LEAD TIME",IF(T24&lt;0,"OVERDUE",IF(T24&lt;=Settings!$B$5,"ORDER SOON","OK"))))))</f>
        <v/>
      </c>
      <c r="V24" s="15" t="n"/>
    </row>
    <row r="25">
      <c r="A25" s="14">
        <f>IF(B25="","",IF(C25="Epic",IFERROR(INDEX(Lists!$A:$A,MATCH(B25,Lists!$B:$B,0)),"?"),1000+ROW()))</f>
        <v/>
      </c>
      <c r="B25" s="15" t="n"/>
      <c r="C25" s="15" t="n"/>
      <c r="D25" s="15" t="n"/>
      <c r="E25" s="14">
        <f>IF(OR(C25="Epic",D25=""),"",IFERROR(INDEX(Lists!$A:$A,MATCH(D25,Lists!$B:$B,0)),""))</f>
        <v/>
      </c>
      <c r="F25" s="15" t="n"/>
      <c r="G25" s="15" t="n"/>
      <c r="H25" s="15" t="n"/>
      <c r="I25" s="15" t="n"/>
      <c r="J25" s="16" t="n"/>
      <c r="K25" s="16" t="n"/>
      <c r="L25" s="17">
        <f>IF(OR(C25="Epic",J25=""),"",MAX(0,J25-N(K25)))</f>
        <v/>
      </c>
      <c r="M25" s="18" t="n"/>
      <c r="N25" s="19">
        <f>IF(OR(L25="",M25=""),"",L25*M25)</f>
        <v/>
      </c>
      <c r="O25" s="15" t="n"/>
      <c r="P25" s="16" t="n"/>
      <c r="Q25" s="20" t="n"/>
      <c r="R25" s="21">
        <f>IF(OR(B25="",C25="Epic"),"",IF(Q25="",Settings!$B$3,Q25))</f>
        <v/>
      </c>
      <c r="S25" s="21">
        <f>IF(OR(R25="",P25="",N(L25)=0),"",R25-P25-Settings!$B$4)</f>
        <v/>
      </c>
      <c r="T25" s="17">
        <f>IF(S25="","",S25-TODAY())</f>
        <v/>
      </c>
      <c r="U25" s="14">
        <f>IF(OR(B25="",C25="Epic"),"",IF(N(L25)=0,IF(J25="","","ON HAND"),IF(OR(O25="Ordered",O25="Shipped",O25="Received"),O25,IF(S25="","NEED LEAD TIME",IF(T25&lt;0,"OVERDUE",IF(T25&lt;=Settings!$B$5,"ORDER SOON","OK"))))))</f>
        <v/>
      </c>
      <c r="V25" s="15" t="n"/>
    </row>
    <row r="26">
      <c r="A26" s="14">
        <f>IF(B26="","",IF(C26="Epic",IFERROR(INDEX(Lists!$A:$A,MATCH(B26,Lists!$B:$B,0)),"?"),1000+ROW()))</f>
        <v/>
      </c>
      <c r="B26" s="15" t="n"/>
      <c r="C26" s="15" t="n"/>
      <c r="D26" s="15" t="n"/>
      <c r="E26" s="14">
        <f>IF(OR(C26="Epic",D26=""),"",IFERROR(INDEX(Lists!$A:$A,MATCH(D26,Lists!$B:$B,0)),""))</f>
        <v/>
      </c>
      <c r="F26" s="15" t="n"/>
      <c r="G26" s="15" t="n"/>
      <c r="H26" s="15" t="n"/>
      <c r="I26" s="15" t="n"/>
      <c r="J26" s="16" t="n"/>
      <c r="K26" s="16" t="n"/>
      <c r="L26" s="17">
        <f>IF(OR(C26="Epic",J26=""),"",MAX(0,J26-N(K26)))</f>
        <v/>
      </c>
      <c r="M26" s="18" t="n"/>
      <c r="N26" s="19">
        <f>IF(OR(L26="",M26=""),"",L26*M26)</f>
        <v/>
      </c>
      <c r="O26" s="15" t="n"/>
      <c r="P26" s="16" t="n"/>
      <c r="Q26" s="20" t="n"/>
      <c r="R26" s="21">
        <f>IF(OR(B26="",C26="Epic"),"",IF(Q26="",Settings!$B$3,Q26))</f>
        <v/>
      </c>
      <c r="S26" s="21">
        <f>IF(OR(R26="",P26="",N(L26)=0),"",R26-P26-Settings!$B$4)</f>
        <v/>
      </c>
      <c r="T26" s="17">
        <f>IF(S26="","",S26-TODAY())</f>
        <v/>
      </c>
      <c r="U26" s="14">
        <f>IF(OR(B26="",C26="Epic"),"",IF(N(L26)=0,IF(J26="","","ON HAND"),IF(OR(O26="Ordered",O26="Shipped",O26="Received"),O26,IF(S26="","NEED LEAD TIME",IF(T26&lt;0,"OVERDUE",IF(T26&lt;=Settings!$B$5,"ORDER SOON","OK"))))))</f>
        <v/>
      </c>
      <c r="V26" s="15" t="n"/>
    </row>
    <row r="27">
      <c r="A27" s="14">
        <f>IF(B27="","",IF(C27="Epic",IFERROR(INDEX(Lists!$A:$A,MATCH(B27,Lists!$B:$B,0)),"?"),1000+ROW()))</f>
        <v/>
      </c>
      <c r="B27" s="15" t="n"/>
      <c r="C27" s="15" t="n"/>
      <c r="D27" s="15" t="n"/>
      <c r="E27" s="14">
        <f>IF(OR(C27="Epic",D27=""),"",IFERROR(INDEX(Lists!$A:$A,MATCH(D27,Lists!$B:$B,0)),""))</f>
        <v/>
      </c>
      <c r="F27" s="15" t="n"/>
      <c r="G27" s="15" t="n"/>
      <c r="H27" s="15" t="n"/>
      <c r="I27" s="15" t="n"/>
      <c r="J27" s="16" t="n"/>
      <c r="K27" s="16" t="n"/>
      <c r="L27" s="17">
        <f>IF(OR(C27="Epic",J27=""),"",MAX(0,J27-N(K27)))</f>
        <v/>
      </c>
      <c r="M27" s="18" t="n"/>
      <c r="N27" s="19">
        <f>IF(OR(L27="",M27=""),"",L27*M27)</f>
        <v/>
      </c>
      <c r="O27" s="15" t="n"/>
      <c r="P27" s="16" t="n"/>
      <c r="Q27" s="20" t="n"/>
      <c r="R27" s="21">
        <f>IF(OR(B27="",C27="Epic"),"",IF(Q27="",Settings!$B$3,Q27))</f>
        <v/>
      </c>
      <c r="S27" s="21">
        <f>IF(OR(R27="",P27="",N(L27)=0),"",R27-P27-Settings!$B$4)</f>
        <v/>
      </c>
      <c r="T27" s="17">
        <f>IF(S27="","",S27-TODAY())</f>
        <v/>
      </c>
      <c r="U27" s="14">
        <f>IF(OR(B27="",C27="Epic"),"",IF(N(L27)=0,IF(J27="","","ON HAND"),IF(OR(O27="Ordered",O27="Shipped",O27="Received"),O27,IF(S27="","NEED LEAD TIME",IF(T27&lt;0,"OVERDUE",IF(T27&lt;=Settings!$B$5,"ORDER SOON","OK"))))))</f>
        <v/>
      </c>
      <c r="V27" s="15" t="n"/>
    </row>
    <row r="28">
      <c r="A28" s="14">
        <f>IF(B28="","",IF(C28="Epic",IFERROR(INDEX(Lists!$A:$A,MATCH(B28,Lists!$B:$B,0)),"?"),1000+ROW()))</f>
        <v/>
      </c>
      <c r="B28" s="15" t="n"/>
      <c r="C28" s="15" t="n"/>
      <c r="D28" s="15" t="n"/>
      <c r="E28" s="14">
        <f>IF(OR(C28="Epic",D28=""),"",IFERROR(INDEX(Lists!$A:$A,MATCH(D28,Lists!$B:$B,0)),""))</f>
        <v/>
      </c>
      <c r="F28" s="15" t="n"/>
      <c r="G28" s="15" t="n"/>
      <c r="H28" s="15" t="n"/>
      <c r="I28" s="15" t="n"/>
      <c r="J28" s="16" t="n"/>
      <c r="K28" s="16" t="n"/>
      <c r="L28" s="17">
        <f>IF(OR(C28="Epic",J28=""),"",MAX(0,J28-N(K28)))</f>
        <v/>
      </c>
      <c r="M28" s="18" t="n"/>
      <c r="N28" s="19">
        <f>IF(OR(L28="",M28=""),"",L28*M28)</f>
        <v/>
      </c>
      <c r="O28" s="15" t="n"/>
      <c r="P28" s="16" t="n"/>
      <c r="Q28" s="20" t="n"/>
      <c r="R28" s="21">
        <f>IF(OR(B28="",C28="Epic"),"",IF(Q28="",Settings!$B$3,Q28))</f>
        <v/>
      </c>
      <c r="S28" s="21">
        <f>IF(OR(R28="",P28="",N(L28)=0),"",R28-P28-Settings!$B$4)</f>
        <v/>
      </c>
      <c r="T28" s="17">
        <f>IF(S28="","",S28-TODAY())</f>
        <v/>
      </c>
      <c r="U28" s="14">
        <f>IF(OR(B28="",C28="Epic"),"",IF(N(L28)=0,IF(J28="","","ON HAND"),IF(OR(O28="Ordered",O28="Shipped",O28="Received"),O28,IF(S28="","NEED LEAD TIME",IF(T28&lt;0,"OVERDUE",IF(T28&lt;=Settings!$B$5,"ORDER SOON","OK"))))))</f>
        <v/>
      </c>
      <c r="V28" s="15" t="n"/>
    </row>
    <row r="29">
      <c r="A29" s="14">
        <f>IF(B29="","",IF(C29="Epic",IFERROR(INDEX(Lists!$A:$A,MATCH(B29,Lists!$B:$B,0)),"?"),1000+ROW()))</f>
        <v/>
      </c>
      <c r="B29" s="15" t="n"/>
      <c r="C29" s="15" t="n"/>
      <c r="D29" s="15" t="n"/>
      <c r="E29" s="14">
        <f>IF(OR(C29="Epic",D29=""),"",IFERROR(INDEX(Lists!$A:$A,MATCH(D29,Lists!$B:$B,0)),""))</f>
        <v/>
      </c>
      <c r="F29" s="15" t="n"/>
      <c r="G29" s="15" t="n"/>
      <c r="H29" s="15" t="n"/>
      <c r="I29" s="15" t="n"/>
      <c r="J29" s="16" t="n"/>
      <c r="K29" s="16" t="n"/>
      <c r="L29" s="17">
        <f>IF(OR(C29="Epic",J29=""),"",MAX(0,J29-N(K29)))</f>
        <v/>
      </c>
      <c r="M29" s="18" t="n"/>
      <c r="N29" s="19">
        <f>IF(OR(L29="",M29=""),"",L29*M29)</f>
        <v/>
      </c>
      <c r="O29" s="15" t="n"/>
      <c r="P29" s="16" t="n"/>
      <c r="Q29" s="20" t="n"/>
      <c r="R29" s="21">
        <f>IF(OR(B29="",C29="Epic"),"",IF(Q29="",Settings!$B$3,Q29))</f>
        <v/>
      </c>
      <c r="S29" s="21">
        <f>IF(OR(R29="",P29="",N(L29)=0),"",R29-P29-Settings!$B$4)</f>
        <v/>
      </c>
      <c r="T29" s="17">
        <f>IF(S29="","",S29-TODAY())</f>
        <v/>
      </c>
      <c r="U29" s="14">
        <f>IF(OR(B29="",C29="Epic"),"",IF(N(L29)=0,IF(J29="","","ON HAND"),IF(OR(O29="Ordered",O29="Shipped",O29="Received"),O29,IF(S29="","NEED LEAD TIME",IF(T29&lt;0,"OVERDUE",IF(T29&lt;=Settings!$B$5,"ORDER SOON","OK"))))))</f>
        <v/>
      </c>
      <c r="V29" s="15" t="n"/>
    </row>
    <row r="30">
      <c r="A30" s="14">
        <f>IF(B30="","",IF(C30="Epic",IFERROR(INDEX(Lists!$A:$A,MATCH(B30,Lists!$B:$B,0)),"?"),1000+ROW()))</f>
        <v/>
      </c>
      <c r="B30" s="15" t="n"/>
      <c r="C30" s="15" t="n"/>
      <c r="D30" s="15" t="n"/>
      <c r="E30" s="14">
        <f>IF(OR(C30="Epic",D30=""),"",IFERROR(INDEX(Lists!$A:$A,MATCH(D30,Lists!$B:$B,0)),""))</f>
        <v/>
      </c>
      <c r="F30" s="15" t="n"/>
      <c r="G30" s="15" t="n"/>
      <c r="H30" s="15" t="n"/>
      <c r="I30" s="15" t="n"/>
      <c r="J30" s="16" t="n"/>
      <c r="K30" s="16" t="n"/>
      <c r="L30" s="17">
        <f>IF(OR(C30="Epic",J30=""),"",MAX(0,J30-N(K30)))</f>
        <v/>
      </c>
      <c r="M30" s="18" t="n"/>
      <c r="N30" s="19">
        <f>IF(OR(L30="",M30=""),"",L30*M30)</f>
        <v/>
      </c>
      <c r="O30" s="15" t="n"/>
      <c r="P30" s="16" t="n"/>
      <c r="Q30" s="20" t="n"/>
      <c r="R30" s="21">
        <f>IF(OR(B30="",C30="Epic"),"",IF(Q30="",Settings!$B$3,Q30))</f>
        <v/>
      </c>
      <c r="S30" s="21">
        <f>IF(OR(R30="",P30="",N(L30)=0),"",R30-P30-Settings!$B$4)</f>
        <v/>
      </c>
      <c r="T30" s="17">
        <f>IF(S30="","",S30-TODAY())</f>
        <v/>
      </c>
      <c r="U30" s="14">
        <f>IF(OR(B30="",C30="Epic"),"",IF(N(L30)=0,IF(J30="","","ON HAND"),IF(OR(O30="Ordered",O30="Shipped",O30="Received"),O30,IF(S30="","NEED LEAD TIME",IF(T30&lt;0,"OVERDUE",IF(T30&lt;=Settings!$B$5,"ORDER SOON","OK"))))))</f>
        <v/>
      </c>
      <c r="V30" s="15" t="n"/>
    </row>
    <row r="31">
      <c r="A31" s="14">
        <f>IF(B31="","",IF(C31="Epic",IFERROR(INDEX(Lists!$A:$A,MATCH(B31,Lists!$B:$B,0)),"?"),1000+ROW()))</f>
        <v/>
      </c>
      <c r="B31" s="15" t="n"/>
      <c r="C31" s="15" t="n"/>
      <c r="D31" s="15" t="n"/>
      <c r="E31" s="14">
        <f>IF(OR(C31="Epic",D31=""),"",IFERROR(INDEX(Lists!$A:$A,MATCH(D31,Lists!$B:$B,0)),""))</f>
        <v/>
      </c>
      <c r="F31" s="15" t="n"/>
      <c r="G31" s="15" t="n"/>
      <c r="H31" s="15" t="n"/>
      <c r="I31" s="15" t="n"/>
      <c r="J31" s="16" t="n"/>
      <c r="K31" s="16" t="n"/>
      <c r="L31" s="17">
        <f>IF(OR(C31="Epic",J31=""),"",MAX(0,J31-N(K31)))</f>
        <v/>
      </c>
      <c r="M31" s="18" t="n"/>
      <c r="N31" s="19">
        <f>IF(OR(L31="",M31=""),"",L31*M31)</f>
        <v/>
      </c>
      <c r="O31" s="15" t="n"/>
      <c r="P31" s="16" t="n"/>
      <c r="Q31" s="20" t="n"/>
      <c r="R31" s="21">
        <f>IF(OR(B31="",C31="Epic"),"",IF(Q31="",Settings!$B$3,Q31))</f>
        <v/>
      </c>
      <c r="S31" s="21">
        <f>IF(OR(R31="",P31="",N(L31)=0),"",R31-P31-Settings!$B$4)</f>
        <v/>
      </c>
      <c r="T31" s="17">
        <f>IF(S31="","",S31-TODAY())</f>
        <v/>
      </c>
      <c r="U31" s="14">
        <f>IF(OR(B31="",C31="Epic"),"",IF(N(L31)=0,IF(J31="","","ON HAND"),IF(OR(O31="Ordered",O31="Shipped",O31="Received"),O31,IF(S31="","NEED LEAD TIME",IF(T31&lt;0,"OVERDUE",IF(T31&lt;=Settings!$B$5,"ORDER SOON","OK"))))))</f>
        <v/>
      </c>
      <c r="V31" s="15" t="n"/>
    </row>
    <row r="32">
      <c r="A32" s="14">
        <f>IF(B32="","",IF(C32="Epic",IFERROR(INDEX(Lists!$A:$A,MATCH(B32,Lists!$B:$B,0)),"?"),1000+ROW()))</f>
        <v/>
      </c>
      <c r="B32" s="15" t="n"/>
      <c r="C32" s="15" t="n"/>
      <c r="D32" s="15" t="n"/>
      <c r="E32" s="14">
        <f>IF(OR(C32="Epic",D32=""),"",IFERROR(INDEX(Lists!$A:$A,MATCH(D32,Lists!$B:$B,0)),""))</f>
        <v/>
      </c>
      <c r="F32" s="15" t="n"/>
      <c r="G32" s="15" t="n"/>
      <c r="H32" s="15" t="n"/>
      <c r="I32" s="15" t="n"/>
      <c r="J32" s="16" t="n"/>
      <c r="K32" s="16" t="n"/>
      <c r="L32" s="17">
        <f>IF(OR(C32="Epic",J32=""),"",MAX(0,J32-N(K32)))</f>
        <v/>
      </c>
      <c r="M32" s="18" t="n"/>
      <c r="N32" s="19">
        <f>IF(OR(L32="",M32=""),"",L32*M32)</f>
        <v/>
      </c>
      <c r="O32" s="15" t="n"/>
      <c r="P32" s="16" t="n"/>
      <c r="Q32" s="20" t="n"/>
      <c r="R32" s="21">
        <f>IF(OR(B32="",C32="Epic"),"",IF(Q32="",Settings!$B$3,Q32))</f>
        <v/>
      </c>
      <c r="S32" s="21">
        <f>IF(OR(R32="",P32="",N(L32)=0),"",R32-P32-Settings!$B$4)</f>
        <v/>
      </c>
      <c r="T32" s="17">
        <f>IF(S32="","",S32-TODAY())</f>
        <v/>
      </c>
      <c r="U32" s="14">
        <f>IF(OR(B32="",C32="Epic"),"",IF(N(L32)=0,IF(J32="","","ON HAND"),IF(OR(O32="Ordered",O32="Shipped",O32="Received"),O32,IF(S32="","NEED LEAD TIME",IF(T32&lt;0,"OVERDUE",IF(T32&lt;=Settings!$B$5,"ORDER SOON","OK"))))))</f>
        <v/>
      </c>
      <c r="V32" s="15" t="n"/>
    </row>
    <row r="33">
      <c r="A33" s="14">
        <f>IF(B33="","",IF(C33="Epic",IFERROR(INDEX(Lists!$A:$A,MATCH(B33,Lists!$B:$B,0)),"?"),1000+ROW()))</f>
        <v/>
      </c>
      <c r="B33" s="15" t="n"/>
      <c r="C33" s="15" t="n"/>
      <c r="D33" s="15" t="n"/>
      <c r="E33" s="14">
        <f>IF(OR(C33="Epic",D33=""),"",IFERROR(INDEX(Lists!$A:$A,MATCH(D33,Lists!$B:$B,0)),""))</f>
        <v/>
      </c>
      <c r="F33" s="15" t="n"/>
      <c r="G33" s="15" t="n"/>
      <c r="H33" s="15" t="n"/>
      <c r="I33" s="15" t="n"/>
      <c r="J33" s="16" t="n"/>
      <c r="K33" s="16" t="n"/>
      <c r="L33" s="17">
        <f>IF(OR(C33="Epic",J33=""),"",MAX(0,J33-N(K33)))</f>
        <v/>
      </c>
      <c r="M33" s="18" t="n"/>
      <c r="N33" s="19">
        <f>IF(OR(L33="",M33=""),"",L33*M33)</f>
        <v/>
      </c>
      <c r="O33" s="15" t="n"/>
      <c r="P33" s="16" t="n"/>
      <c r="Q33" s="20" t="n"/>
      <c r="R33" s="21">
        <f>IF(OR(B33="",C33="Epic"),"",IF(Q33="",Settings!$B$3,Q33))</f>
        <v/>
      </c>
      <c r="S33" s="21">
        <f>IF(OR(R33="",P33="",N(L33)=0),"",R33-P33-Settings!$B$4)</f>
        <v/>
      </c>
      <c r="T33" s="17">
        <f>IF(S33="","",S33-TODAY())</f>
        <v/>
      </c>
      <c r="U33" s="14">
        <f>IF(OR(B33="",C33="Epic"),"",IF(N(L33)=0,IF(J33="","","ON HAND"),IF(OR(O33="Ordered",O33="Shipped",O33="Received"),O33,IF(S33="","NEED LEAD TIME",IF(T33&lt;0,"OVERDUE",IF(T33&lt;=Settings!$B$5,"ORDER SOON","OK"))))))</f>
        <v/>
      </c>
      <c r="V33" s="15" t="n"/>
    </row>
    <row r="34">
      <c r="A34" s="14">
        <f>IF(B34="","",IF(C34="Epic",IFERROR(INDEX(Lists!$A:$A,MATCH(B34,Lists!$B:$B,0)),"?"),1000+ROW()))</f>
        <v/>
      </c>
      <c r="B34" s="15" t="n"/>
      <c r="C34" s="15" t="n"/>
      <c r="D34" s="15" t="n"/>
      <c r="E34" s="14">
        <f>IF(OR(C34="Epic",D34=""),"",IFERROR(INDEX(Lists!$A:$A,MATCH(D34,Lists!$B:$B,0)),""))</f>
        <v/>
      </c>
      <c r="F34" s="15" t="n"/>
      <c r="G34" s="15" t="n"/>
      <c r="H34" s="15" t="n"/>
      <c r="I34" s="15" t="n"/>
      <c r="J34" s="16" t="n"/>
      <c r="K34" s="16" t="n"/>
      <c r="L34" s="17">
        <f>IF(OR(C34="Epic",J34=""),"",MAX(0,J34-N(K34)))</f>
        <v/>
      </c>
      <c r="M34" s="18" t="n"/>
      <c r="N34" s="19">
        <f>IF(OR(L34="",M34=""),"",L34*M34)</f>
        <v/>
      </c>
      <c r="O34" s="15" t="n"/>
      <c r="P34" s="16" t="n"/>
      <c r="Q34" s="20" t="n"/>
      <c r="R34" s="21">
        <f>IF(OR(B34="",C34="Epic"),"",IF(Q34="",Settings!$B$3,Q34))</f>
        <v/>
      </c>
      <c r="S34" s="21">
        <f>IF(OR(R34="",P34="",N(L34)=0),"",R34-P34-Settings!$B$4)</f>
        <v/>
      </c>
      <c r="T34" s="17">
        <f>IF(S34="","",S34-TODAY())</f>
        <v/>
      </c>
      <c r="U34" s="14">
        <f>IF(OR(B34="",C34="Epic"),"",IF(N(L34)=0,IF(J34="","","ON HAND"),IF(OR(O34="Ordered",O34="Shipped",O34="Received"),O34,IF(S34="","NEED LEAD TIME",IF(T34&lt;0,"OVERDUE",IF(T34&lt;=Settings!$B$5,"ORDER SOON","OK"))))))</f>
        <v/>
      </c>
      <c r="V34" s="15" t="n"/>
    </row>
    <row r="35">
      <c r="A35" s="14">
        <f>IF(B35="","",IF(C35="Epic",IFERROR(INDEX(Lists!$A:$A,MATCH(B35,Lists!$B:$B,0)),"?"),1000+ROW()))</f>
        <v/>
      </c>
      <c r="B35" s="15" t="n"/>
      <c r="C35" s="15" t="n"/>
      <c r="D35" s="15" t="n"/>
      <c r="E35" s="14">
        <f>IF(OR(C35="Epic",D35=""),"",IFERROR(INDEX(Lists!$A:$A,MATCH(D35,Lists!$B:$B,0)),""))</f>
        <v/>
      </c>
      <c r="F35" s="15" t="n"/>
      <c r="G35" s="15" t="n"/>
      <c r="H35" s="15" t="n"/>
      <c r="I35" s="15" t="n"/>
      <c r="J35" s="16" t="n"/>
      <c r="K35" s="16" t="n"/>
      <c r="L35" s="17">
        <f>IF(OR(C35="Epic",J35=""),"",MAX(0,J35-N(K35)))</f>
        <v/>
      </c>
      <c r="M35" s="18" t="n"/>
      <c r="N35" s="19">
        <f>IF(OR(L35="",M35=""),"",L35*M35)</f>
        <v/>
      </c>
      <c r="O35" s="15" t="n"/>
      <c r="P35" s="16" t="n"/>
      <c r="Q35" s="20" t="n"/>
      <c r="R35" s="21">
        <f>IF(OR(B35="",C35="Epic"),"",IF(Q35="",Settings!$B$3,Q35))</f>
        <v/>
      </c>
      <c r="S35" s="21">
        <f>IF(OR(R35="",P35="",N(L35)=0),"",R35-P35-Settings!$B$4)</f>
        <v/>
      </c>
      <c r="T35" s="17">
        <f>IF(S35="","",S35-TODAY())</f>
        <v/>
      </c>
      <c r="U35" s="14">
        <f>IF(OR(B35="",C35="Epic"),"",IF(N(L35)=0,IF(J35="","","ON HAND"),IF(OR(O35="Ordered",O35="Shipped",O35="Received"),O35,IF(S35="","NEED LEAD TIME",IF(T35&lt;0,"OVERDUE",IF(T35&lt;=Settings!$B$5,"ORDER SOON","OK"))))))</f>
        <v/>
      </c>
      <c r="V35" s="15" t="n"/>
    </row>
    <row r="36">
      <c r="A36" s="14">
        <f>IF(B36="","",IF(C36="Epic",IFERROR(INDEX(Lists!$A:$A,MATCH(B36,Lists!$B:$B,0)),"?"),1000+ROW()))</f>
        <v/>
      </c>
      <c r="B36" s="15" t="n"/>
      <c r="C36" s="15" t="n"/>
      <c r="D36" s="15" t="n"/>
      <c r="E36" s="14">
        <f>IF(OR(C36="Epic",D36=""),"",IFERROR(INDEX(Lists!$A:$A,MATCH(D36,Lists!$B:$B,0)),""))</f>
        <v/>
      </c>
      <c r="F36" s="15" t="n"/>
      <c r="G36" s="15" t="n"/>
      <c r="H36" s="15" t="n"/>
      <c r="I36" s="15" t="n"/>
      <c r="J36" s="16" t="n"/>
      <c r="K36" s="16" t="n"/>
      <c r="L36" s="17">
        <f>IF(OR(C36="Epic",J36=""),"",MAX(0,J36-N(K36)))</f>
        <v/>
      </c>
      <c r="M36" s="18" t="n"/>
      <c r="N36" s="19">
        <f>IF(OR(L36="",M36=""),"",L36*M36)</f>
        <v/>
      </c>
      <c r="O36" s="15" t="n"/>
      <c r="P36" s="16" t="n"/>
      <c r="Q36" s="20" t="n"/>
      <c r="R36" s="21">
        <f>IF(OR(B36="",C36="Epic"),"",IF(Q36="",Settings!$B$3,Q36))</f>
        <v/>
      </c>
      <c r="S36" s="21">
        <f>IF(OR(R36="",P36="",N(L36)=0),"",R36-P36-Settings!$B$4)</f>
        <v/>
      </c>
      <c r="T36" s="17">
        <f>IF(S36="","",S36-TODAY())</f>
        <v/>
      </c>
      <c r="U36" s="14">
        <f>IF(OR(B36="",C36="Epic"),"",IF(N(L36)=0,IF(J36="","","ON HAND"),IF(OR(O36="Ordered",O36="Shipped",O36="Received"),O36,IF(S36="","NEED LEAD TIME",IF(T36&lt;0,"OVERDUE",IF(T36&lt;=Settings!$B$5,"ORDER SOON","OK"))))))</f>
        <v/>
      </c>
      <c r="V36" s="15" t="n"/>
    </row>
    <row r="37">
      <c r="A37" s="14">
        <f>IF(B37="","",IF(C37="Epic",IFERROR(INDEX(Lists!$A:$A,MATCH(B37,Lists!$B:$B,0)),"?"),1000+ROW()))</f>
        <v/>
      </c>
      <c r="B37" s="15" t="n"/>
      <c r="C37" s="15" t="n"/>
      <c r="D37" s="15" t="n"/>
      <c r="E37" s="14">
        <f>IF(OR(C37="Epic",D37=""),"",IFERROR(INDEX(Lists!$A:$A,MATCH(D37,Lists!$B:$B,0)),""))</f>
        <v/>
      </c>
      <c r="F37" s="15" t="n"/>
      <c r="G37" s="15" t="n"/>
      <c r="H37" s="15" t="n"/>
      <c r="I37" s="15" t="n"/>
      <c r="J37" s="16" t="n"/>
      <c r="K37" s="16" t="n"/>
      <c r="L37" s="17">
        <f>IF(OR(C37="Epic",J37=""),"",MAX(0,J37-N(K37)))</f>
        <v/>
      </c>
      <c r="M37" s="18" t="n"/>
      <c r="N37" s="19">
        <f>IF(OR(L37="",M37=""),"",L37*M37)</f>
        <v/>
      </c>
      <c r="O37" s="15" t="n"/>
      <c r="P37" s="16" t="n"/>
      <c r="Q37" s="20" t="n"/>
      <c r="R37" s="21">
        <f>IF(OR(B37="",C37="Epic"),"",IF(Q37="",Settings!$B$3,Q37))</f>
        <v/>
      </c>
      <c r="S37" s="21">
        <f>IF(OR(R37="",P37="",N(L37)=0),"",R37-P37-Settings!$B$4)</f>
        <v/>
      </c>
      <c r="T37" s="17">
        <f>IF(S37="","",S37-TODAY())</f>
        <v/>
      </c>
      <c r="U37" s="14">
        <f>IF(OR(B37="",C37="Epic"),"",IF(N(L37)=0,IF(J37="","","ON HAND"),IF(OR(O37="Ordered",O37="Shipped",O37="Received"),O37,IF(S37="","NEED LEAD TIME",IF(T37&lt;0,"OVERDUE",IF(T37&lt;=Settings!$B$5,"ORDER SOON","OK"))))))</f>
        <v/>
      </c>
      <c r="V37" s="15" t="n"/>
    </row>
    <row r="38">
      <c r="A38" s="14">
        <f>IF(B38="","",IF(C38="Epic",IFERROR(INDEX(Lists!$A:$A,MATCH(B38,Lists!$B:$B,0)),"?"),1000+ROW()))</f>
        <v/>
      </c>
      <c r="B38" s="15" t="n"/>
      <c r="C38" s="15" t="n"/>
      <c r="D38" s="15" t="n"/>
      <c r="E38" s="14">
        <f>IF(OR(C38="Epic",D38=""),"",IFERROR(INDEX(Lists!$A:$A,MATCH(D38,Lists!$B:$B,0)),""))</f>
        <v/>
      </c>
      <c r="F38" s="15" t="n"/>
      <c r="G38" s="15" t="n"/>
      <c r="H38" s="15" t="n"/>
      <c r="I38" s="15" t="n"/>
      <c r="J38" s="16" t="n"/>
      <c r="K38" s="16" t="n"/>
      <c r="L38" s="17">
        <f>IF(OR(C38="Epic",J38=""),"",MAX(0,J38-N(K38)))</f>
        <v/>
      </c>
      <c r="M38" s="18" t="n"/>
      <c r="N38" s="19">
        <f>IF(OR(L38="",M38=""),"",L38*M38)</f>
        <v/>
      </c>
      <c r="O38" s="15" t="n"/>
      <c r="P38" s="16" t="n"/>
      <c r="Q38" s="20" t="n"/>
      <c r="R38" s="21">
        <f>IF(OR(B38="",C38="Epic"),"",IF(Q38="",Settings!$B$3,Q38))</f>
        <v/>
      </c>
      <c r="S38" s="21">
        <f>IF(OR(R38="",P38="",N(L38)=0),"",R38-P38-Settings!$B$4)</f>
        <v/>
      </c>
      <c r="T38" s="17">
        <f>IF(S38="","",S38-TODAY())</f>
        <v/>
      </c>
      <c r="U38" s="14">
        <f>IF(OR(B38="",C38="Epic"),"",IF(N(L38)=0,IF(J38="","","ON HAND"),IF(OR(O38="Ordered",O38="Shipped",O38="Received"),O38,IF(S38="","NEED LEAD TIME",IF(T38&lt;0,"OVERDUE",IF(T38&lt;=Settings!$B$5,"ORDER SOON","OK"))))))</f>
        <v/>
      </c>
      <c r="V38" s="15" t="n"/>
    </row>
    <row r="39">
      <c r="A39" s="14">
        <f>IF(B39="","",IF(C39="Epic",IFERROR(INDEX(Lists!$A:$A,MATCH(B39,Lists!$B:$B,0)),"?"),1000+ROW()))</f>
        <v/>
      </c>
      <c r="B39" s="15" t="n"/>
      <c r="C39" s="15" t="n"/>
      <c r="D39" s="15" t="n"/>
      <c r="E39" s="14">
        <f>IF(OR(C39="Epic",D39=""),"",IFERROR(INDEX(Lists!$A:$A,MATCH(D39,Lists!$B:$B,0)),""))</f>
        <v/>
      </c>
      <c r="F39" s="15" t="n"/>
      <c r="G39" s="15" t="n"/>
      <c r="H39" s="15" t="n"/>
      <c r="I39" s="15" t="n"/>
      <c r="J39" s="16" t="n"/>
      <c r="K39" s="16" t="n"/>
      <c r="L39" s="17">
        <f>IF(OR(C39="Epic",J39=""),"",MAX(0,J39-N(K39)))</f>
        <v/>
      </c>
      <c r="M39" s="18" t="n"/>
      <c r="N39" s="19">
        <f>IF(OR(L39="",M39=""),"",L39*M39)</f>
        <v/>
      </c>
      <c r="O39" s="15" t="n"/>
      <c r="P39" s="16" t="n"/>
      <c r="Q39" s="20" t="n"/>
      <c r="R39" s="21">
        <f>IF(OR(B39="",C39="Epic"),"",IF(Q39="",Settings!$B$3,Q39))</f>
        <v/>
      </c>
      <c r="S39" s="21">
        <f>IF(OR(R39="",P39="",N(L39)=0),"",R39-P39-Settings!$B$4)</f>
        <v/>
      </c>
      <c r="T39" s="17">
        <f>IF(S39="","",S39-TODAY())</f>
        <v/>
      </c>
      <c r="U39" s="14">
        <f>IF(OR(B39="",C39="Epic"),"",IF(N(L39)=0,IF(J39="","","ON HAND"),IF(OR(O39="Ordered",O39="Shipped",O39="Received"),O39,IF(S39="","NEED LEAD TIME",IF(T39&lt;0,"OVERDUE",IF(T39&lt;=Settings!$B$5,"ORDER SOON","OK"))))))</f>
        <v/>
      </c>
      <c r="V39" s="15" t="n"/>
    </row>
    <row r="40">
      <c r="A40" s="14">
        <f>IF(B40="","",IF(C40="Epic",IFERROR(INDEX(Lists!$A:$A,MATCH(B40,Lists!$B:$B,0)),"?"),1000+ROW()))</f>
        <v/>
      </c>
      <c r="B40" s="15" t="n"/>
      <c r="C40" s="15" t="n"/>
      <c r="D40" s="15" t="n"/>
      <c r="E40" s="14">
        <f>IF(OR(C40="Epic",D40=""),"",IFERROR(INDEX(Lists!$A:$A,MATCH(D40,Lists!$B:$B,0)),""))</f>
        <v/>
      </c>
      <c r="F40" s="15" t="n"/>
      <c r="G40" s="15" t="n"/>
      <c r="H40" s="15" t="n"/>
      <c r="I40" s="15" t="n"/>
      <c r="J40" s="16" t="n"/>
      <c r="K40" s="16" t="n"/>
      <c r="L40" s="17">
        <f>IF(OR(C40="Epic",J40=""),"",MAX(0,J40-N(K40)))</f>
        <v/>
      </c>
      <c r="M40" s="18" t="n"/>
      <c r="N40" s="19">
        <f>IF(OR(L40="",M40=""),"",L40*M40)</f>
        <v/>
      </c>
      <c r="O40" s="15" t="n"/>
      <c r="P40" s="16" t="n"/>
      <c r="Q40" s="20" t="n"/>
      <c r="R40" s="21">
        <f>IF(OR(B40="",C40="Epic"),"",IF(Q40="",Settings!$B$3,Q40))</f>
        <v/>
      </c>
      <c r="S40" s="21">
        <f>IF(OR(R40="",P40="",N(L40)=0),"",R40-P40-Settings!$B$4)</f>
        <v/>
      </c>
      <c r="T40" s="17">
        <f>IF(S40="","",S40-TODAY())</f>
        <v/>
      </c>
      <c r="U40" s="14">
        <f>IF(OR(B40="",C40="Epic"),"",IF(N(L40)=0,IF(J40="","","ON HAND"),IF(OR(O40="Ordered",O40="Shipped",O40="Received"),O40,IF(S40="","NEED LEAD TIME",IF(T40&lt;0,"OVERDUE",IF(T40&lt;=Settings!$B$5,"ORDER SOON","OK"))))))</f>
        <v/>
      </c>
      <c r="V40" s="15" t="n"/>
    </row>
    <row r="41">
      <c r="A41" s="14">
        <f>IF(B41="","",IF(C41="Epic",IFERROR(INDEX(Lists!$A:$A,MATCH(B41,Lists!$B:$B,0)),"?"),1000+ROW()))</f>
        <v/>
      </c>
      <c r="B41" s="15" t="n"/>
      <c r="C41" s="15" t="n"/>
      <c r="D41" s="15" t="n"/>
      <c r="E41" s="14">
        <f>IF(OR(C41="Epic",D41=""),"",IFERROR(INDEX(Lists!$A:$A,MATCH(D41,Lists!$B:$B,0)),""))</f>
        <v/>
      </c>
      <c r="F41" s="15" t="n"/>
      <c r="G41" s="15" t="n"/>
      <c r="H41" s="15" t="n"/>
      <c r="I41" s="15" t="n"/>
      <c r="J41" s="16" t="n"/>
      <c r="K41" s="16" t="n"/>
      <c r="L41" s="17">
        <f>IF(OR(C41="Epic",J41=""),"",MAX(0,J41-N(K41)))</f>
        <v/>
      </c>
      <c r="M41" s="18" t="n"/>
      <c r="N41" s="19">
        <f>IF(OR(L41="",M41=""),"",L41*M41)</f>
        <v/>
      </c>
      <c r="O41" s="15" t="n"/>
      <c r="P41" s="16" t="n"/>
      <c r="Q41" s="20" t="n"/>
      <c r="R41" s="21">
        <f>IF(OR(B41="",C41="Epic"),"",IF(Q41="",Settings!$B$3,Q41))</f>
        <v/>
      </c>
      <c r="S41" s="21">
        <f>IF(OR(R41="",P41="",N(L41)=0),"",R41-P41-Settings!$B$4)</f>
        <v/>
      </c>
      <c r="T41" s="17">
        <f>IF(S41="","",S41-TODAY())</f>
        <v/>
      </c>
      <c r="U41" s="14">
        <f>IF(OR(B41="",C41="Epic"),"",IF(N(L41)=0,IF(J41="","","ON HAND"),IF(OR(O41="Ordered",O41="Shipped",O41="Received"),O41,IF(S41="","NEED LEAD TIME",IF(T41&lt;0,"OVERDUE",IF(T41&lt;=Settings!$B$5,"ORDER SOON","OK"))))))</f>
        <v/>
      </c>
      <c r="V41" s="15" t="n"/>
    </row>
    <row r="42">
      <c r="A42" s="14">
        <f>IF(B42="","",IF(C42="Epic",IFERROR(INDEX(Lists!$A:$A,MATCH(B42,Lists!$B:$B,0)),"?"),1000+ROW()))</f>
        <v/>
      </c>
      <c r="B42" s="15" t="n"/>
      <c r="C42" s="15" t="n"/>
      <c r="D42" s="15" t="n"/>
      <c r="E42" s="14">
        <f>IF(OR(C42="Epic",D42=""),"",IFERROR(INDEX(Lists!$A:$A,MATCH(D42,Lists!$B:$B,0)),""))</f>
        <v/>
      </c>
      <c r="F42" s="15" t="n"/>
      <c r="G42" s="15" t="n"/>
      <c r="H42" s="15" t="n"/>
      <c r="I42" s="15" t="n"/>
      <c r="J42" s="16" t="n"/>
      <c r="K42" s="16" t="n"/>
      <c r="L42" s="17">
        <f>IF(OR(C42="Epic",J42=""),"",MAX(0,J42-N(K42)))</f>
        <v/>
      </c>
      <c r="M42" s="18" t="n"/>
      <c r="N42" s="19">
        <f>IF(OR(L42="",M42=""),"",L42*M42)</f>
        <v/>
      </c>
      <c r="O42" s="15" t="n"/>
      <c r="P42" s="16" t="n"/>
      <c r="Q42" s="20" t="n"/>
      <c r="R42" s="21">
        <f>IF(OR(B42="",C42="Epic"),"",IF(Q42="",Settings!$B$3,Q42))</f>
        <v/>
      </c>
      <c r="S42" s="21">
        <f>IF(OR(R42="",P42="",N(L42)=0),"",R42-P42-Settings!$B$4)</f>
        <v/>
      </c>
      <c r="T42" s="17">
        <f>IF(S42="","",S42-TODAY())</f>
        <v/>
      </c>
      <c r="U42" s="14">
        <f>IF(OR(B42="",C42="Epic"),"",IF(N(L42)=0,IF(J42="","","ON HAND"),IF(OR(O42="Ordered",O42="Shipped",O42="Received"),O42,IF(S42="","NEED LEAD TIME",IF(T42&lt;0,"OVERDUE",IF(T42&lt;=Settings!$B$5,"ORDER SOON","OK"))))))</f>
        <v/>
      </c>
      <c r="V42" s="15" t="n"/>
    </row>
    <row r="43">
      <c r="A43" s="14">
        <f>IF(B43="","",IF(C43="Epic",IFERROR(INDEX(Lists!$A:$A,MATCH(B43,Lists!$B:$B,0)),"?"),1000+ROW()))</f>
        <v/>
      </c>
      <c r="B43" s="15" t="n"/>
      <c r="C43" s="15" t="n"/>
      <c r="D43" s="15" t="n"/>
      <c r="E43" s="14">
        <f>IF(OR(C43="Epic",D43=""),"",IFERROR(INDEX(Lists!$A:$A,MATCH(D43,Lists!$B:$B,0)),""))</f>
        <v/>
      </c>
      <c r="F43" s="15" t="n"/>
      <c r="G43" s="15" t="n"/>
      <c r="H43" s="15" t="n"/>
      <c r="I43" s="15" t="n"/>
      <c r="J43" s="16" t="n"/>
      <c r="K43" s="16" t="n"/>
      <c r="L43" s="17">
        <f>IF(OR(C43="Epic",J43=""),"",MAX(0,J43-N(K43)))</f>
        <v/>
      </c>
      <c r="M43" s="18" t="n"/>
      <c r="N43" s="19">
        <f>IF(OR(L43="",M43=""),"",L43*M43)</f>
        <v/>
      </c>
      <c r="O43" s="15" t="n"/>
      <c r="P43" s="16" t="n"/>
      <c r="Q43" s="20" t="n"/>
      <c r="R43" s="21">
        <f>IF(OR(B43="",C43="Epic"),"",IF(Q43="",Settings!$B$3,Q43))</f>
        <v/>
      </c>
      <c r="S43" s="21">
        <f>IF(OR(R43="",P43="",N(L43)=0),"",R43-P43-Settings!$B$4)</f>
        <v/>
      </c>
      <c r="T43" s="17">
        <f>IF(S43="","",S43-TODAY())</f>
        <v/>
      </c>
      <c r="U43" s="14">
        <f>IF(OR(B43="",C43="Epic"),"",IF(N(L43)=0,IF(J43="","","ON HAND"),IF(OR(O43="Ordered",O43="Shipped",O43="Received"),O43,IF(S43="","NEED LEAD TIME",IF(T43&lt;0,"OVERDUE",IF(T43&lt;=Settings!$B$5,"ORDER SOON","OK"))))))</f>
        <v/>
      </c>
      <c r="V43" s="15" t="n"/>
    </row>
    <row r="44">
      <c r="A44" s="14">
        <f>IF(B44="","",IF(C44="Epic",IFERROR(INDEX(Lists!$A:$A,MATCH(B44,Lists!$B:$B,0)),"?"),1000+ROW()))</f>
        <v/>
      </c>
      <c r="B44" s="15" t="n"/>
      <c r="C44" s="15" t="n"/>
      <c r="D44" s="15" t="n"/>
      <c r="E44" s="14">
        <f>IF(OR(C44="Epic",D44=""),"",IFERROR(INDEX(Lists!$A:$A,MATCH(D44,Lists!$B:$B,0)),""))</f>
        <v/>
      </c>
      <c r="F44" s="15" t="n"/>
      <c r="G44" s="15" t="n"/>
      <c r="H44" s="15" t="n"/>
      <c r="I44" s="15" t="n"/>
      <c r="J44" s="16" t="n"/>
      <c r="K44" s="16" t="n"/>
      <c r="L44" s="17">
        <f>IF(OR(C44="Epic",J44=""),"",MAX(0,J44-N(K44)))</f>
        <v/>
      </c>
      <c r="M44" s="18" t="n"/>
      <c r="N44" s="19">
        <f>IF(OR(L44="",M44=""),"",L44*M44)</f>
        <v/>
      </c>
      <c r="O44" s="15" t="n"/>
      <c r="P44" s="16" t="n"/>
      <c r="Q44" s="20" t="n"/>
      <c r="R44" s="21">
        <f>IF(OR(B44="",C44="Epic"),"",IF(Q44="",Settings!$B$3,Q44))</f>
        <v/>
      </c>
      <c r="S44" s="21">
        <f>IF(OR(R44="",P44="",N(L44)=0),"",R44-P44-Settings!$B$4)</f>
        <v/>
      </c>
      <c r="T44" s="17">
        <f>IF(S44="","",S44-TODAY())</f>
        <v/>
      </c>
      <c r="U44" s="14">
        <f>IF(OR(B44="",C44="Epic"),"",IF(N(L44)=0,IF(J44="","","ON HAND"),IF(OR(O44="Ordered",O44="Shipped",O44="Received"),O44,IF(S44="","NEED LEAD TIME",IF(T44&lt;0,"OVERDUE",IF(T44&lt;=Settings!$B$5,"ORDER SOON","OK"))))))</f>
        <v/>
      </c>
      <c r="V44" s="15" t="n"/>
    </row>
    <row r="45">
      <c r="A45" s="14">
        <f>IF(B45="","",IF(C45="Epic",IFERROR(INDEX(Lists!$A:$A,MATCH(B45,Lists!$B:$B,0)),"?"),1000+ROW()))</f>
        <v/>
      </c>
      <c r="B45" s="15" t="n"/>
      <c r="C45" s="15" t="n"/>
      <c r="D45" s="15" t="n"/>
      <c r="E45" s="14">
        <f>IF(OR(C45="Epic",D45=""),"",IFERROR(INDEX(Lists!$A:$A,MATCH(D45,Lists!$B:$B,0)),""))</f>
        <v/>
      </c>
      <c r="F45" s="15" t="n"/>
      <c r="G45" s="15" t="n"/>
      <c r="H45" s="15" t="n"/>
      <c r="I45" s="15" t="n"/>
      <c r="J45" s="16" t="n"/>
      <c r="K45" s="16" t="n"/>
      <c r="L45" s="17">
        <f>IF(OR(C45="Epic",J45=""),"",MAX(0,J45-N(K45)))</f>
        <v/>
      </c>
      <c r="M45" s="18" t="n"/>
      <c r="N45" s="19">
        <f>IF(OR(L45="",M45=""),"",L45*M45)</f>
        <v/>
      </c>
      <c r="O45" s="15" t="n"/>
      <c r="P45" s="16" t="n"/>
      <c r="Q45" s="20" t="n"/>
      <c r="R45" s="21">
        <f>IF(OR(B45="",C45="Epic"),"",IF(Q45="",Settings!$B$3,Q45))</f>
        <v/>
      </c>
      <c r="S45" s="21">
        <f>IF(OR(R45="",P45="",N(L45)=0),"",R45-P45-Settings!$B$4)</f>
        <v/>
      </c>
      <c r="T45" s="17">
        <f>IF(S45="","",S45-TODAY())</f>
        <v/>
      </c>
      <c r="U45" s="14">
        <f>IF(OR(B45="",C45="Epic"),"",IF(N(L45)=0,IF(J45="","","ON HAND"),IF(OR(O45="Ordered",O45="Shipped",O45="Received"),O45,IF(S45="","NEED LEAD TIME",IF(T45&lt;0,"OVERDUE",IF(T45&lt;=Settings!$B$5,"ORDER SOON","OK"))))))</f>
        <v/>
      </c>
      <c r="V45" s="15" t="n"/>
    </row>
    <row r="46">
      <c r="A46" s="14">
        <f>IF(B46="","",IF(C46="Epic",IFERROR(INDEX(Lists!$A:$A,MATCH(B46,Lists!$B:$B,0)),"?"),1000+ROW()))</f>
        <v/>
      </c>
      <c r="B46" s="15" t="n"/>
      <c r="C46" s="15" t="n"/>
      <c r="D46" s="15" t="n"/>
      <c r="E46" s="14">
        <f>IF(OR(C46="Epic",D46=""),"",IFERROR(INDEX(Lists!$A:$A,MATCH(D46,Lists!$B:$B,0)),""))</f>
        <v/>
      </c>
      <c r="F46" s="15" t="n"/>
      <c r="G46" s="15" t="n"/>
      <c r="H46" s="15" t="n"/>
      <c r="I46" s="15" t="n"/>
      <c r="J46" s="16" t="n"/>
      <c r="K46" s="16" t="n"/>
      <c r="L46" s="17">
        <f>IF(OR(C46="Epic",J46=""),"",MAX(0,J46-N(K46)))</f>
        <v/>
      </c>
      <c r="M46" s="18" t="n"/>
      <c r="N46" s="19">
        <f>IF(OR(L46="",M46=""),"",L46*M46)</f>
        <v/>
      </c>
      <c r="O46" s="15" t="n"/>
      <c r="P46" s="16" t="n"/>
      <c r="Q46" s="20" t="n"/>
      <c r="R46" s="21">
        <f>IF(OR(B46="",C46="Epic"),"",IF(Q46="",Settings!$B$3,Q46))</f>
        <v/>
      </c>
      <c r="S46" s="21">
        <f>IF(OR(R46="",P46="",N(L46)=0),"",R46-P46-Settings!$B$4)</f>
        <v/>
      </c>
      <c r="T46" s="17">
        <f>IF(S46="","",S46-TODAY())</f>
        <v/>
      </c>
      <c r="U46" s="14">
        <f>IF(OR(B46="",C46="Epic"),"",IF(N(L46)=0,IF(J46="","","ON HAND"),IF(OR(O46="Ordered",O46="Shipped",O46="Received"),O46,IF(S46="","NEED LEAD TIME",IF(T46&lt;0,"OVERDUE",IF(T46&lt;=Settings!$B$5,"ORDER SOON","OK"))))))</f>
        <v/>
      </c>
      <c r="V46" s="15" t="n"/>
    </row>
    <row r="47">
      <c r="A47" s="14">
        <f>IF(B47="","",IF(C47="Epic",IFERROR(INDEX(Lists!$A:$A,MATCH(B47,Lists!$B:$B,0)),"?"),1000+ROW()))</f>
        <v/>
      </c>
      <c r="B47" s="15" t="n"/>
      <c r="C47" s="15" t="n"/>
      <c r="D47" s="15" t="n"/>
      <c r="E47" s="14">
        <f>IF(OR(C47="Epic",D47=""),"",IFERROR(INDEX(Lists!$A:$A,MATCH(D47,Lists!$B:$B,0)),""))</f>
        <v/>
      </c>
      <c r="F47" s="15" t="n"/>
      <c r="G47" s="15" t="n"/>
      <c r="H47" s="15" t="n"/>
      <c r="I47" s="15" t="n"/>
      <c r="J47" s="16" t="n"/>
      <c r="K47" s="16" t="n"/>
      <c r="L47" s="17">
        <f>IF(OR(C47="Epic",J47=""),"",MAX(0,J47-N(K47)))</f>
        <v/>
      </c>
      <c r="M47" s="18" t="n"/>
      <c r="N47" s="19">
        <f>IF(OR(L47="",M47=""),"",L47*M47)</f>
        <v/>
      </c>
      <c r="O47" s="15" t="n"/>
      <c r="P47" s="16" t="n"/>
      <c r="Q47" s="20" t="n"/>
      <c r="R47" s="21">
        <f>IF(OR(B47="",C47="Epic"),"",IF(Q47="",Settings!$B$3,Q47))</f>
        <v/>
      </c>
      <c r="S47" s="21">
        <f>IF(OR(R47="",P47="",N(L47)=0),"",R47-P47-Settings!$B$4)</f>
        <v/>
      </c>
      <c r="T47" s="17">
        <f>IF(S47="","",S47-TODAY())</f>
        <v/>
      </c>
      <c r="U47" s="14">
        <f>IF(OR(B47="",C47="Epic"),"",IF(N(L47)=0,IF(J47="","","ON HAND"),IF(OR(O47="Ordered",O47="Shipped",O47="Received"),O47,IF(S47="","NEED LEAD TIME",IF(T47&lt;0,"OVERDUE",IF(T47&lt;=Settings!$B$5,"ORDER SOON","OK"))))))</f>
        <v/>
      </c>
      <c r="V47" s="15" t="n"/>
    </row>
    <row r="48">
      <c r="A48" s="14">
        <f>IF(B48="","",IF(C48="Epic",IFERROR(INDEX(Lists!$A:$A,MATCH(B48,Lists!$B:$B,0)),"?"),1000+ROW()))</f>
        <v/>
      </c>
      <c r="B48" s="15" t="n"/>
      <c r="C48" s="15" t="n"/>
      <c r="D48" s="15" t="n"/>
      <c r="E48" s="14">
        <f>IF(OR(C48="Epic",D48=""),"",IFERROR(INDEX(Lists!$A:$A,MATCH(D48,Lists!$B:$B,0)),""))</f>
        <v/>
      </c>
      <c r="F48" s="15" t="n"/>
      <c r="G48" s="15" t="n"/>
      <c r="H48" s="15" t="n"/>
      <c r="I48" s="15" t="n"/>
      <c r="J48" s="16" t="n"/>
      <c r="K48" s="16" t="n"/>
      <c r="L48" s="17">
        <f>IF(OR(C48="Epic",J48=""),"",MAX(0,J48-N(K48)))</f>
        <v/>
      </c>
      <c r="M48" s="18" t="n"/>
      <c r="N48" s="19">
        <f>IF(OR(L48="",M48=""),"",L48*M48)</f>
        <v/>
      </c>
      <c r="O48" s="15" t="n"/>
      <c r="P48" s="16" t="n"/>
      <c r="Q48" s="20" t="n"/>
      <c r="R48" s="21">
        <f>IF(OR(B48="",C48="Epic"),"",IF(Q48="",Settings!$B$3,Q48))</f>
        <v/>
      </c>
      <c r="S48" s="21">
        <f>IF(OR(R48="",P48="",N(L48)=0),"",R48-P48-Settings!$B$4)</f>
        <v/>
      </c>
      <c r="T48" s="17">
        <f>IF(S48="","",S48-TODAY())</f>
        <v/>
      </c>
      <c r="U48" s="14">
        <f>IF(OR(B48="",C48="Epic"),"",IF(N(L48)=0,IF(J48="","","ON HAND"),IF(OR(O48="Ordered",O48="Shipped",O48="Received"),O48,IF(S48="","NEED LEAD TIME",IF(T48&lt;0,"OVERDUE",IF(T48&lt;=Settings!$B$5,"ORDER SOON","OK"))))))</f>
        <v/>
      </c>
      <c r="V48" s="15" t="n"/>
    </row>
    <row r="49">
      <c r="A49" s="14">
        <f>IF(B49="","",IF(C49="Epic",IFERROR(INDEX(Lists!$A:$A,MATCH(B49,Lists!$B:$B,0)),"?"),1000+ROW()))</f>
        <v/>
      </c>
      <c r="B49" s="15" t="n"/>
      <c r="C49" s="15" t="n"/>
      <c r="D49" s="15" t="n"/>
      <c r="E49" s="14">
        <f>IF(OR(C49="Epic",D49=""),"",IFERROR(INDEX(Lists!$A:$A,MATCH(D49,Lists!$B:$B,0)),""))</f>
        <v/>
      </c>
      <c r="F49" s="15" t="n"/>
      <c r="G49" s="15" t="n"/>
      <c r="H49" s="15" t="n"/>
      <c r="I49" s="15" t="n"/>
      <c r="J49" s="16" t="n"/>
      <c r="K49" s="16" t="n"/>
      <c r="L49" s="17">
        <f>IF(OR(C49="Epic",J49=""),"",MAX(0,J49-N(K49)))</f>
        <v/>
      </c>
      <c r="M49" s="18" t="n"/>
      <c r="N49" s="19">
        <f>IF(OR(L49="",M49=""),"",L49*M49)</f>
        <v/>
      </c>
      <c r="O49" s="15" t="n"/>
      <c r="P49" s="16" t="n"/>
      <c r="Q49" s="20" t="n"/>
      <c r="R49" s="21">
        <f>IF(OR(B49="",C49="Epic"),"",IF(Q49="",Settings!$B$3,Q49))</f>
        <v/>
      </c>
      <c r="S49" s="21">
        <f>IF(OR(R49="",P49="",N(L49)=0),"",R49-P49-Settings!$B$4)</f>
        <v/>
      </c>
      <c r="T49" s="17">
        <f>IF(S49="","",S49-TODAY())</f>
        <v/>
      </c>
      <c r="U49" s="14">
        <f>IF(OR(B49="",C49="Epic"),"",IF(N(L49)=0,IF(J49="","","ON HAND"),IF(OR(O49="Ordered",O49="Shipped",O49="Received"),O49,IF(S49="","NEED LEAD TIME",IF(T49&lt;0,"OVERDUE",IF(T49&lt;=Settings!$B$5,"ORDER SOON","OK"))))))</f>
        <v/>
      </c>
      <c r="V49" s="15" t="n"/>
    </row>
    <row r="50">
      <c r="A50" s="14">
        <f>IF(B50="","",IF(C50="Epic",IFERROR(INDEX(Lists!$A:$A,MATCH(B50,Lists!$B:$B,0)),"?"),1000+ROW()))</f>
        <v/>
      </c>
      <c r="B50" s="15" t="n"/>
      <c r="C50" s="15" t="n"/>
      <c r="D50" s="15" t="n"/>
      <c r="E50" s="14">
        <f>IF(OR(C50="Epic",D50=""),"",IFERROR(INDEX(Lists!$A:$A,MATCH(D50,Lists!$B:$B,0)),""))</f>
        <v/>
      </c>
      <c r="F50" s="15" t="n"/>
      <c r="G50" s="15" t="n"/>
      <c r="H50" s="15" t="n"/>
      <c r="I50" s="15" t="n"/>
      <c r="J50" s="16" t="n"/>
      <c r="K50" s="16" t="n"/>
      <c r="L50" s="17">
        <f>IF(OR(C50="Epic",J50=""),"",MAX(0,J50-N(K50)))</f>
        <v/>
      </c>
      <c r="M50" s="18" t="n"/>
      <c r="N50" s="19">
        <f>IF(OR(L50="",M50=""),"",L50*M50)</f>
        <v/>
      </c>
      <c r="O50" s="15" t="n"/>
      <c r="P50" s="16" t="n"/>
      <c r="Q50" s="20" t="n"/>
      <c r="R50" s="21">
        <f>IF(OR(B50="",C50="Epic"),"",IF(Q50="",Settings!$B$3,Q50))</f>
        <v/>
      </c>
      <c r="S50" s="21">
        <f>IF(OR(R50="",P50="",N(L50)=0),"",R50-P50-Settings!$B$4)</f>
        <v/>
      </c>
      <c r="T50" s="17">
        <f>IF(S50="","",S50-TODAY())</f>
        <v/>
      </c>
      <c r="U50" s="14">
        <f>IF(OR(B50="",C50="Epic"),"",IF(N(L50)=0,IF(J50="","","ON HAND"),IF(OR(O50="Ordered",O50="Shipped",O50="Received"),O50,IF(S50="","NEED LEAD TIME",IF(T50&lt;0,"OVERDUE",IF(T50&lt;=Settings!$B$5,"ORDER SOON","OK"))))))</f>
        <v/>
      </c>
      <c r="V50" s="15" t="n"/>
    </row>
    <row r="51">
      <c r="A51" s="14">
        <f>IF(B51="","",IF(C51="Epic",IFERROR(INDEX(Lists!$A:$A,MATCH(B51,Lists!$B:$B,0)),"?"),1000+ROW()))</f>
        <v/>
      </c>
      <c r="B51" s="15" t="n"/>
      <c r="C51" s="15" t="n"/>
      <c r="D51" s="15" t="n"/>
      <c r="E51" s="14">
        <f>IF(OR(C51="Epic",D51=""),"",IFERROR(INDEX(Lists!$A:$A,MATCH(D51,Lists!$B:$B,0)),""))</f>
        <v/>
      </c>
      <c r="F51" s="15" t="n"/>
      <c r="G51" s="15" t="n"/>
      <c r="H51" s="15" t="n"/>
      <c r="I51" s="15" t="n"/>
      <c r="J51" s="16" t="n"/>
      <c r="K51" s="16" t="n"/>
      <c r="L51" s="17">
        <f>IF(OR(C51="Epic",J51=""),"",MAX(0,J51-N(K51)))</f>
        <v/>
      </c>
      <c r="M51" s="18" t="n"/>
      <c r="N51" s="19">
        <f>IF(OR(L51="",M51=""),"",L51*M51)</f>
        <v/>
      </c>
      <c r="O51" s="15" t="n"/>
      <c r="P51" s="16" t="n"/>
      <c r="Q51" s="20" t="n"/>
      <c r="R51" s="21">
        <f>IF(OR(B51="",C51="Epic"),"",IF(Q51="",Settings!$B$3,Q51))</f>
        <v/>
      </c>
      <c r="S51" s="21">
        <f>IF(OR(R51="",P51="",N(L51)=0),"",R51-P51-Settings!$B$4)</f>
        <v/>
      </c>
      <c r="T51" s="17">
        <f>IF(S51="","",S51-TODAY())</f>
        <v/>
      </c>
      <c r="U51" s="14">
        <f>IF(OR(B51="",C51="Epic"),"",IF(N(L51)=0,IF(J51="","","ON HAND"),IF(OR(O51="Ordered",O51="Shipped",O51="Received"),O51,IF(S51="","NEED LEAD TIME",IF(T51&lt;0,"OVERDUE",IF(T51&lt;=Settings!$B$5,"ORDER SOON","OK"))))))</f>
        <v/>
      </c>
      <c r="V51" s="15" t="n"/>
    </row>
    <row r="52">
      <c r="A52" s="14">
        <f>IF(B52="","",IF(C52="Epic",IFERROR(INDEX(Lists!$A:$A,MATCH(B52,Lists!$B:$B,0)),"?"),1000+ROW()))</f>
        <v/>
      </c>
      <c r="B52" s="15" t="n"/>
      <c r="C52" s="15" t="n"/>
      <c r="D52" s="15" t="n"/>
      <c r="E52" s="14">
        <f>IF(OR(C52="Epic",D52=""),"",IFERROR(INDEX(Lists!$A:$A,MATCH(D52,Lists!$B:$B,0)),""))</f>
        <v/>
      </c>
      <c r="F52" s="15" t="n"/>
      <c r="G52" s="15" t="n"/>
      <c r="H52" s="15" t="n"/>
      <c r="I52" s="15" t="n"/>
      <c r="J52" s="16" t="n"/>
      <c r="K52" s="16" t="n"/>
      <c r="L52" s="17">
        <f>IF(OR(C52="Epic",J52=""),"",MAX(0,J52-N(K52)))</f>
        <v/>
      </c>
      <c r="M52" s="18" t="n"/>
      <c r="N52" s="19">
        <f>IF(OR(L52="",M52=""),"",L52*M52)</f>
        <v/>
      </c>
      <c r="O52" s="15" t="n"/>
      <c r="P52" s="16" t="n"/>
      <c r="Q52" s="20" t="n"/>
      <c r="R52" s="21">
        <f>IF(OR(B52="",C52="Epic"),"",IF(Q52="",Settings!$B$3,Q52))</f>
        <v/>
      </c>
      <c r="S52" s="21">
        <f>IF(OR(R52="",P52="",N(L52)=0),"",R52-P52-Settings!$B$4)</f>
        <v/>
      </c>
      <c r="T52" s="17">
        <f>IF(S52="","",S52-TODAY())</f>
        <v/>
      </c>
      <c r="U52" s="14">
        <f>IF(OR(B52="",C52="Epic"),"",IF(N(L52)=0,IF(J52="","","ON HAND"),IF(OR(O52="Ordered",O52="Shipped",O52="Received"),O52,IF(S52="","NEED LEAD TIME",IF(T52&lt;0,"OVERDUE",IF(T52&lt;=Settings!$B$5,"ORDER SOON","OK"))))))</f>
        <v/>
      </c>
      <c r="V52" s="15" t="n"/>
    </row>
    <row r="53">
      <c r="A53" s="14">
        <f>IF(B53="","",IF(C53="Epic",IFERROR(INDEX(Lists!$A:$A,MATCH(B53,Lists!$B:$B,0)),"?"),1000+ROW()))</f>
        <v/>
      </c>
      <c r="B53" s="15" t="n"/>
      <c r="C53" s="15" t="n"/>
      <c r="D53" s="15" t="n"/>
      <c r="E53" s="14">
        <f>IF(OR(C53="Epic",D53=""),"",IFERROR(INDEX(Lists!$A:$A,MATCH(D53,Lists!$B:$B,0)),""))</f>
        <v/>
      </c>
      <c r="F53" s="15" t="n"/>
      <c r="G53" s="15" t="n"/>
      <c r="H53" s="15" t="n"/>
      <c r="I53" s="15" t="n"/>
      <c r="J53" s="16" t="n"/>
      <c r="K53" s="16" t="n"/>
      <c r="L53" s="17">
        <f>IF(OR(C53="Epic",J53=""),"",MAX(0,J53-N(K53)))</f>
        <v/>
      </c>
      <c r="M53" s="18" t="n"/>
      <c r="N53" s="19">
        <f>IF(OR(L53="",M53=""),"",L53*M53)</f>
        <v/>
      </c>
      <c r="O53" s="15" t="n"/>
      <c r="P53" s="16" t="n"/>
      <c r="Q53" s="20" t="n"/>
      <c r="R53" s="21">
        <f>IF(OR(B53="",C53="Epic"),"",IF(Q53="",Settings!$B$3,Q53))</f>
        <v/>
      </c>
      <c r="S53" s="21">
        <f>IF(OR(R53="",P53="",N(L53)=0),"",R53-P53-Settings!$B$4)</f>
        <v/>
      </c>
      <c r="T53" s="17">
        <f>IF(S53="","",S53-TODAY())</f>
        <v/>
      </c>
      <c r="U53" s="14">
        <f>IF(OR(B53="",C53="Epic"),"",IF(N(L53)=0,IF(J53="","","ON HAND"),IF(OR(O53="Ordered",O53="Shipped",O53="Received"),O53,IF(S53="","NEED LEAD TIME",IF(T53&lt;0,"OVERDUE",IF(T53&lt;=Settings!$B$5,"ORDER SOON","OK"))))))</f>
        <v/>
      </c>
      <c r="V53" s="15" t="n"/>
    </row>
    <row r="54">
      <c r="A54" s="14">
        <f>IF(B54="","",IF(C54="Epic",IFERROR(INDEX(Lists!$A:$A,MATCH(B54,Lists!$B:$B,0)),"?"),1000+ROW()))</f>
        <v/>
      </c>
      <c r="B54" s="15" t="n"/>
      <c r="C54" s="15" t="n"/>
      <c r="D54" s="15" t="n"/>
      <c r="E54" s="14">
        <f>IF(OR(C54="Epic",D54=""),"",IFERROR(INDEX(Lists!$A:$A,MATCH(D54,Lists!$B:$B,0)),""))</f>
        <v/>
      </c>
      <c r="F54" s="15" t="n"/>
      <c r="G54" s="15" t="n"/>
      <c r="H54" s="15" t="n"/>
      <c r="I54" s="15" t="n"/>
      <c r="J54" s="16" t="n"/>
      <c r="K54" s="16" t="n"/>
      <c r="L54" s="17">
        <f>IF(OR(C54="Epic",J54=""),"",MAX(0,J54-N(K54)))</f>
        <v/>
      </c>
      <c r="M54" s="18" t="n"/>
      <c r="N54" s="19">
        <f>IF(OR(L54="",M54=""),"",L54*M54)</f>
        <v/>
      </c>
      <c r="O54" s="15" t="n"/>
      <c r="P54" s="16" t="n"/>
      <c r="Q54" s="20" t="n"/>
      <c r="R54" s="21">
        <f>IF(OR(B54="",C54="Epic"),"",IF(Q54="",Settings!$B$3,Q54))</f>
        <v/>
      </c>
      <c r="S54" s="21">
        <f>IF(OR(R54="",P54="",N(L54)=0),"",R54-P54-Settings!$B$4)</f>
        <v/>
      </c>
      <c r="T54" s="17">
        <f>IF(S54="","",S54-TODAY())</f>
        <v/>
      </c>
      <c r="U54" s="14">
        <f>IF(OR(B54="",C54="Epic"),"",IF(N(L54)=0,IF(J54="","","ON HAND"),IF(OR(O54="Ordered",O54="Shipped",O54="Received"),O54,IF(S54="","NEED LEAD TIME",IF(T54&lt;0,"OVERDUE",IF(T54&lt;=Settings!$B$5,"ORDER SOON","OK"))))))</f>
        <v/>
      </c>
      <c r="V54" s="15" t="n"/>
    </row>
    <row r="55">
      <c r="A55" s="14">
        <f>IF(B55="","",IF(C55="Epic",IFERROR(INDEX(Lists!$A:$A,MATCH(B55,Lists!$B:$B,0)),"?"),1000+ROW()))</f>
        <v/>
      </c>
      <c r="B55" s="15" t="n"/>
      <c r="C55" s="15" t="n"/>
      <c r="D55" s="15" t="n"/>
      <c r="E55" s="14">
        <f>IF(OR(C55="Epic",D55=""),"",IFERROR(INDEX(Lists!$A:$A,MATCH(D55,Lists!$B:$B,0)),""))</f>
        <v/>
      </c>
      <c r="F55" s="15" t="n"/>
      <c r="G55" s="15" t="n"/>
      <c r="H55" s="15" t="n"/>
      <c r="I55" s="15" t="n"/>
      <c r="J55" s="16" t="n"/>
      <c r="K55" s="16" t="n"/>
      <c r="L55" s="17">
        <f>IF(OR(C55="Epic",J55=""),"",MAX(0,J55-N(K55)))</f>
        <v/>
      </c>
      <c r="M55" s="18" t="n"/>
      <c r="N55" s="19">
        <f>IF(OR(L55="",M55=""),"",L55*M55)</f>
        <v/>
      </c>
      <c r="O55" s="15" t="n"/>
      <c r="P55" s="16" t="n"/>
      <c r="Q55" s="20" t="n"/>
      <c r="R55" s="21">
        <f>IF(OR(B55="",C55="Epic"),"",IF(Q55="",Settings!$B$3,Q55))</f>
        <v/>
      </c>
      <c r="S55" s="21">
        <f>IF(OR(R55="",P55="",N(L55)=0),"",R55-P55-Settings!$B$4)</f>
        <v/>
      </c>
      <c r="T55" s="17">
        <f>IF(S55="","",S55-TODAY())</f>
        <v/>
      </c>
      <c r="U55" s="14">
        <f>IF(OR(B55="",C55="Epic"),"",IF(N(L55)=0,IF(J55="","","ON HAND"),IF(OR(O55="Ordered",O55="Shipped",O55="Received"),O55,IF(S55="","NEED LEAD TIME",IF(T55&lt;0,"OVERDUE",IF(T55&lt;=Settings!$B$5,"ORDER SOON","OK"))))))</f>
        <v/>
      </c>
      <c r="V55" s="15" t="n"/>
    </row>
    <row r="56">
      <c r="A56" s="14">
        <f>IF(B56="","",IF(C56="Epic",IFERROR(INDEX(Lists!$A:$A,MATCH(B56,Lists!$B:$B,0)),"?"),1000+ROW()))</f>
        <v/>
      </c>
      <c r="B56" s="15" t="n"/>
      <c r="C56" s="15" t="n"/>
      <c r="D56" s="15" t="n"/>
      <c r="E56" s="14">
        <f>IF(OR(C56="Epic",D56=""),"",IFERROR(INDEX(Lists!$A:$A,MATCH(D56,Lists!$B:$B,0)),""))</f>
        <v/>
      </c>
      <c r="F56" s="15" t="n"/>
      <c r="G56" s="15" t="n"/>
      <c r="H56" s="15" t="n"/>
      <c r="I56" s="15" t="n"/>
      <c r="J56" s="16" t="n"/>
      <c r="K56" s="16" t="n"/>
      <c r="L56" s="17">
        <f>IF(OR(C56="Epic",J56=""),"",MAX(0,J56-N(K56)))</f>
        <v/>
      </c>
      <c r="M56" s="18" t="n"/>
      <c r="N56" s="19">
        <f>IF(OR(L56="",M56=""),"",L56*M56)</f>
        <v/>
      </c>
      <c r="O56" s="15" t="n"/>
      <c r="P56" s="16" t="n"/>
      <c r="Q56" s="20" t="n"/>
      <c r="R56" s="21">
        <f>IF(OR(B56="",C56="Epic"),"",IF(Q56="",Settings!$B$3,Q56))</f>
        <v/>
      </c>
      <c r="S56" s="21">
        <f>IF(OR(R56="",P56="",N(L56)=0),"",R56-P56-Settings!$B$4)</f>
        <v/>
      </c>
      <c r="T56" s="17">
        <f>IF(S56="","",S56-TODAY())</f>
        <v/>
      </c>
      <c r="U56" s="14">
        <f>IF(OR(B56="",C56="Epic"),"",IF(N(L56)=0,IF(J56="","","ON HAND"),IF(OR(O56="Ordered",O56="Shipped",O56="Received"),O56,IF(S56="","NEED LEAD TIME",IF(T56&lt;0,"OVERDUE",IF(T56&lt;=Settings!$B$5,"ORDER SOON","OK"))))))</f>
        <v/>
      </c>
      <c r="V56" s="15" t="n"/>
    </row>
    <row r="57">
      <c r="A57" s="14">
        <f>IF(B57="","",IF(C57="Epic",IFERROR(INDEX(Lists!$A:$A,MATCH(B57,Lists!$B:$B,0)),"?"),1000+ROW()))</f>
        <v/>
      </c>
      <c r="B57" s="15" t="n"/>
      <c r="C57" s="15" t="n"/>
      <c r="D57" s="15" t="n"/>
      <c r="E57" s="14">
        <f>IF(OR(C57="Epic",D57=""),"",IFERROR(INDEX(Lists!$A:$A,MATCH(D57,Lists!$B:$B,0)),""))</f>
        <v/>
      </c>
      <c r="F57" s="15" t="n"/>
      <c r="G57" s="15" t="n"/>
      <c r="H57" s="15" t="n"/>
      <c r="I57" s="15" t="n"/>
      <c r="J57" s="16" t="n"/>
      <c r="K57" s="16" t="n"/>
      <c r="L57" s="17">
        <f>IF(OR(C57="Epic",J57=""),"",MAX(0,J57-N(K57)))</f>
        <v/>
      </c>
      <c r="M57" s="18" t="n"/>
      <c r="N57" s="19">
        <f>IF(OR(L57="",M57=""),"",L57*M57)</f>
        <v/>
      </c>
      <c r="O57" s="15" t="n"/>
      <c r="P57" s="16" t="n"/>
      <c r="Q57" s="20" t="n"/>
      <c r="R57" s="21">
        <f>IF(OR(B57="",C57="Epic"),"",IF(Q57="",Settings!$B$3,Q57))</f>
        <v/>
      </c>
      <c r="S57" s="21">
        <f>IF(OR(R57="",P57="",N(L57)=0),"",R57-P57-Settings!$B$4)</f>
        <v/>
      </c>
      <c r="T57" s="17">
        <f>IF(S57="","",S57-TODAY())</f>
        <v/>
      </c>
      <c r="U57" s="14">
        <f>IF(OR(B57="",C57="Epic"),"",IF(N(L57)=0,IF(J57="","","ON HAND"),IF(OR(O57="Ordered",O57="Shipped",O57="Received"),O57,IF(S57="","NEED LEAD TIME",IF(T57&lt;0,"OVERDUE",IF(T57&lt;=Settings!$B$5,"ORDER SOON","OK"))))))</f>
        <v/>
      </c>
      <c r="V57" s="15" t="n"/>
    </row>
    <row r="58">
      <c r="A58" s="14">
        <f>IF(B58="","",IF(C58="Epic",IFERROR(INDEX(Lists!$A:$A,MATCH(B58,Lists!$B:$B,0)),"?"),1000+ROW()))</f>
        <v/>
      </c>
      <c r="B58" s="15" t="n"/>
      <c r="C58" s="15" t="n"/>
      <c r="D58" s="15" t="n"/>
      <c r="E58" s="14">
        <f>IF(OR(C58="Epic",D58=""),"",IFERROR(INDEX(Lists!$A:$A,MATCH(D58,Lists!$B:$B,0)),""))</f>
        <v/>
      </c>
      <c r="F58" s="15" t="n"/>
      <c r="G58" s="15" t="n"/>
      <c r="H58" s="15" t="n"/>
      <c r="I58" s="15" t="n"/>
      <c r="J58" s="16" t="n"/>
      <c r="K58" s="16" t="n"/>
      <c r="L58" s="17">
        <f>IF(OR(C58="Epic",J58=""),"",MAX(0,J58-N(K58)))</f>
        <v/>
      </c>
      <c r="M58" s="18" t="n"/>
      <c r="N58" s="19">
        <f>IF(OR(L58="",M58=""),"",L58*M58)</f>
        <v/>
      </c>
      <c r="O58" s="15" t="n"/>
      <c r="P58" s="16" t="n"/>
      <c r="Q58" s="20" t="n"/>
      <c r="R58" s="21">
        <f>IF(OR(B58="",C58="Epic"),"",IF(Q58="",Settings!$B$3,Q58))</f>
        <v/>
      </c>
      <c r="S58" s="21">
        <f>IF(OR(R58="",P58="",N(L58)=0),"",R58-P58-Settings!$B$4)</f>
        <v/>
      </c>
      <c r="T58" s="17">
        <f>IF(S58="","",S58-TODAY())</f>
        <v/>
      </c>
      <c r="U58" s="14">
        <f>IF(OR(B58="",C58="Epic"),"",IF(N(L58)=0,IF(J58="","","ON HAND"),IF(OR(O58="Ordered",O58="Shipped",O58="Received"),O58,IF(S58="","NEED LEAD TIME",IF(T58&lt;0,"OVERDUE",IF(T58&lt;=Settings!$B$5,"ORDER SOON","OK"))))))</f>
        <v/>
      </c>
      <c r="V58" s="15" t="n"/>
    </row>
    <row r="59">
      <c r="A59" s="14">
        <f>IF(B59="","",IF(C59="Epic",IFERROR(INDEX(Lists!$A:$A,MATCH(B59,Lists!$B:$B,0)),"?"),1000+ROW()))</f>
        <v/>
      </c>
      <c r="B59" s="15" t="n"/>
      <c r="C59" s="15" t="n"/>
      <c r="D59" s="15" t="n"/>
      <c r="E59" s="14">
        <f>IF(OR(C59="Epic",D59=""),"",IFERROR(INDEX(Lists!$A:$A,MATCH(D59,Lists!$B:$B,0)),""))</f>
        <v/>
      </c>
      <c r="F59" s="15" t="n"/>
      <c r="G59" s="15" t="n"/>
      <c r="H59" s="15" t="n"/>
      <c r="I59" s="15" t="n"/>
      <c r="J59" s="16" t="n"/>
      <c r="K59" s="16" t="n"/>
      <c r="L59" s="17">
        <f>IF(OR(C59="Epic",J59=""),"",MAX(0,J59-N(K59)))</f>
        <v/>
      </c>
      <c r="M59" s="18" t="n"/>
      <c r="N59" s="19">
        <f>IF(OR(L59="",M59=""),"",L59*M59)</f>
        <v/>
      </c>
      <c r="O59" s="15" t="n"/>
      <c r="P59" s="16" t="n"/>
      <c r="Q59" s="20" t="n"/>
      <c r="R59" s="21">
        <f>IF(OR(B59="",C59="Epic"),"",IF(Q59="",Settings!$B$3,Q59))</f>
        <v/>
      </c>
      <c r="S59" s="21">
        <f>IF(OR(R59="",P59="",N(L59)=0),"",R59-P59-Settings!$B$4)</f>
        <v/>
      </c>
      <c r="T59" s="17">
        <f>IF(S59="","",S59-TODAY())</f>
        <v/>
      </c>
      <c r="U59" s="14">
        <f>IF(OR(B59="",C59="Epic"),"",IF(N(L59)=0,IF(J59="","","ON HAND"),IF(OR(O59="Ordered",O59="Shipped",O59="Received"),O59,IF(S59="","NEED LEAD TIME",IF(T59&lt;0,"OVERDUE",IF(T59&lt;=Settings!$B$5,"ORDER SOON","OK"))))))</f>
        <v/>
      </c>
      <c r="V59" s="15" t="n"/>
    </row>
    <row r="60">
      <c r="A60" s="14">
        <f>IF(B60="","",IF(C60="Epic",IFERROR(INDEX(Lists!$A:$A,MATCH(B60,Lists!$B:$B,0)),"?"),1000+ROW()))</f>
        <v/>
      </c>
      <c r="B60" s="15" t="n"/>
      <c r="C60" s="15" t="n"/>
      <c r="D60" s="15" t="n"/>
      <c r="E60" s="14">
        <f>IF(OR(C60="Epic",D60=""),"",IFERROR(INDEX(Lists!$A:$A,MATCH(D60,Lists!$B:$B,0)),""))</f>
        <v/>
      </c>
      <c r="F60" s="15" t="n"/>
      <c r="G60" s="15" t="n"/>
      <c r="H60" s="15" t="n"/>
      <c r="I60" s="15" t="n"/>
      <c r="J60" s="16" t="n"/>
      <c r="K60" s="16" t="n"/>
      <c r="L60" s="17">
        <f>IF(OR(C60="Epic",J60=""),"",MAX(0,J60-N(K60)))</f>
        <v/>
      </c>
      <c r="M60" s="18" t="n"/>
      <c r="N60" s="19">
        <f>IF(OR(L60="",M60=""),"",L60*M60)</f>
        <v/>
      </c>
      <c r="O60" s="15" t="n"/>
      <c r="P60" s="16" t="n"/>
      <c r="Q60" s="20" t="n"/>
      <c r="R60" s="21">
        <f>IF(OR(B60="",C60="Epic"),"",IF(Q60="",Settings!$B$3,Q60))</f>
        <v/>
      </c>
      <c r="S60" s="21">
        <f>IF(OR(R60="",P60="",N(L60)=0),"",R60-P60-Settings!$B$4)</f>
        <v/>
      </c>
      <c r="T60" s="17">
        <f>IF(S60="","",S60-TODAY())</f>
        <v/>
      </c>
      <c r="U60" s="14">
        <f>IF(OR(B60="",C60="Epic"),"",IF(N(L60)=0,IF(J60="","","ON HAND"),IF(OR(O60="Ordered",O60="Shipped",O60="Received"),O60,IF(S60="","NEED LEAD TIME",IF(T60&lt;0,"OVERDUE",IF(T60&lt;=Settings!$B$5,"ORDER SOON","OK"))))))</f>
        <v/>
      </c>
      <c r="V60" s="15" t="n"/>
    </row>
    <row r="61">
      <c r="A61" s="14">
        <f>IF(B61="","",IF(C61="Epic",IFERROR(INDEX(Lists!$A:$A,MATCH(B61,Lists!$B:$B,0)),"?"),1000+ROW()))</f>
        <v/>
      </c>
      <c r="B61" s="15" t="n"/>
      <c r="C61" s="15" t="n"/>
      <c r="D61" s="15" t="n"/>
      <c r="E61" s="14">
        <f>IF(OR(C61="Epic",D61=""),"",IFERROR(INDEX(Lists!$A:$A,MATCH(D61,Lists!$B:$B,0)),""))</f>
        <v/>
      </c>
      <c r="F61" s="15" t="n"/>
      <c r="G61" s="15" t="n"/>
      <c r="H61" s="15" t="n"/>
      <c r="I61" s="15" t="n"/>
      <c r="J61" s="16" t="n"/>
      <c r="K61" s="16" t="n"/>
      <c r="L61" s="17">
        <f>IF(OR(C61="Epic",J61=""),"",MAX(0,J61-N(K61)))</f>
        <v/>
      </c>
      <c r="M61" s="18" t="n"/>
      <c r="N61" s="19">
        <f>IF(OR(L61="",M61=""),"",L61*M61)</f>
        <v/>
      </c>
      <c r="O61" s="15" t="n"/>
      <c r="P61" s="16" t="n"/>
      <c r="Q61" s="20" t="n"/>
      <c r="R61" s="21">
        <f>IF(OR(B61="",C61="Epic"),"",IF(Q61="",Settings!$B$3,Q61))</f>
        <v/>
      </c>
      <c r="S61" s="21">
        <f>IF(OR(R61="",P61="",N(L61)=0),"",R61-P61-Settings!$B$4)</f>
        <v/>
      </c>
      <c r="T61" s="17">
        <f>IF(S61="","",S61-TODAY())</f>
        <v/>
      </c>
      <c r="U61" s="14">
        <f>IF(OR(B61="",C61="Epic"),"",IF(N(L61)=0,IF(J61="","","ON HAND"),IF(OR(O61="Ordered",O61="Shipped",O61="Received"),O61,IF(S61="","NEED LEAD TIME",IF(T61&lt;0,"OVERDUE",IF(T61&lt;=Settings!$B$5,"ORDER SOON","OK"))))))</f>
        <v/>
      </c>
      <c r="V61" s="15" t="n"/>
    </row>
    <row r="62">
      <c r="A62" s="14">
        <f>IF(B62="","",IF(C62="Epic",IFERROR(INDEX(Lists!$A:$A,MATCH(B62,Lists!$B:$B,0)),"?"),1000+ROW()))</f>
        <v/>
      </c>
      <c r="B62" s="15" t="n"/>
      <c r="C62" s="15" t="n"/>
      <c r="D62" s="15" t="n"/>
      <c r="E62" s="14">
        <f>IF(OR(C62="Epic",D62=""),"",IFERROR(INDEX(Lists!$A:$A,MATCH(D62,Lists!$B:$B,0)),""))</f>
        <v/>
      </c>
      <c r="F62" s="15" t="n"/>
      <c r="G62" s="15" t="n"/>
      <c r="H62" s="15" t="n"/>
      <c r="I62" s="15" t="n"/>
      <c r="J62" s="16" t="n"/>
      <c r="K62" s="16" t="n"/>
      <c r="L62" s="17">
        <f>IF(OR(C62="Epic",J62=""),"",MAX(0,J62-N(K62)))</f>
        <v/>
      </c>
      <c r="M62" s="18" t="n"/>
      <c r="N62" s="19">
        <f>IF(OR(L62="",M62=""),"",L62*M62)</f>
        <v/>
      </c>
      <c r="O62" s="15" t="n"/>
      <c r="P62" s="16" t="n"/>
      <c r="Q62" s="20" t="n"/>
      <c r="R62" s="21">
        <f>IF(OR(B62="",C62="Epic"),"",IF(Q62="",Settings!$B$3,Q62))</f>
        <v/>
      </c>
      <c r="S62" s="21">
        <f>IF(OR(R62="",P62="",N(L62)=0),"",R62-P62-Settings!$B$4)</f>
        <v/>
      </c>
      <c r="T62" s="17">
        <f>IF(S62="","",S62-TODAY())</f>
        <v/>
      </c>
      <c r="U62" s="14">
        <f>IF(OR(B62="",C62="Epic"),"",IF(N(L62)=0,IF(J62="","","ON HAND"),IF(OR(O62="Ordered",O62="Shipped",O62="Received"),O62,IF(S62="","NEED LEAD TIME",IF(T62&lt;0,"OVERDUE",IF(T62&lt;=Settings!$B$5,"ORDER SOON","OK"))))))</f>
        <v/>
      </c>
      <c r="V62" s="15" t="n"/>
    </row>
    <row r="63">
      <c r="A63" s="14">
        <f>IF(B63="","",IF(C63="Epic",IFERROR(INDEX(Lists!$A:$A,MATCH(B63,Lists!$B:$B,0)),"?"),1000+ROW()))</f>
        <v/>
      </c>
      <c r="B63" s="15" t="n"/>
      <c r="C63" s="15" t="n"/>
      <c r="D63" s="15" t="n"/>
      <c r="E63" s="14">
        <f>IF(OR(C63="Epic",D63=""),"",IFERROR(INDEX(Lists!$A:$A,MATCH(D63,Lists!$B:$B,0)),""))</f>
        <v/>
      </c>
      <c r="F63" s="15" t="n"/>
      <c r="G63" s="15" t="n"/>
      <c r="H63" s="15" t="n"/>
      <c r="I63" s="15" t="n"/>
      <c r="J63" s="16" t="n"/>
      <c r="K63" s="16" t="n"/>
      <c r="L63" s="17">
        <f>IF(OR(C63="Epic",J63=""),"",MAX(0,J63-N(K63)))</f>
        <v/>
      </c>
      <c r="M63" s="18" t="n"/>
      <c r="N63" s="19">
        <f>IF(OR(L63="",M63=""),"",L63*M63)</f>
        <v/>
      </c>
      <c r="O63" s="15" t="n"/>
      <c r="P63" s="16" t="n"/>
      <c r="Q63" s="20" t="n"/>
      <c r="R63" s="21">
        <f>IF(OR(B63="",C63="Epic"),"",IF(Q63="",Settings!$B$3,Q63))</f>
        <v/>
      </c>
      <c r="S63" s="21">
        <f>IF(OR(R63="",P63="",N(L63)=0),"",R63-P63-Settings!$B$4)</f>
        <v/>
      </c>
      <c r="T63" s="17">
        <f>IF(S63="","",S63-TODAY())</f>
        <v/>
      </c>
      <c r="U63" s="14">
        <f>IF(OR(B63="",C63="Epic"),"",IF(N(L63)=0,IF(J63="","","ON HAND"),IF(OR(O63="Ordered",O63="Shipped",O63="Received"),O63,IF(S63="","NEED LEAD TIME",IF(T63&lt;0,"OVERDUE",IF(T63&lt;=Settings!$B$5,"ORDER SOON","OK"))))))</f>
        <v/>
      </c>
      <c r="V63" s="15" t="n"/>
    </row>
    <row r="64">
      <c r="A64" s="14">
        <f>IF(B64="","",IF(C64="Epic",IFERROR(INDEX(Lists!$A:$A,MATCH(B64,Lists!$B:$B,0)),"?"),1000+ROW()))</f>
        <v/>
      </c>
      <c r="B64" s="15" t="n"/>
      <c r="C64" s="15" t="n"/>
      <c r="D64" s="15" t="n"/>
      <c r="E64" s="14">
        <f>IF(OR(C64="Epic",D64=""),"",IFERROR(INDEX(Lists!$A:$A,MATCH(D64,Lists!$B:$B,0)),""))</f>
        <v/>
      </c>
      <c r="F64" s="15" t="n"/>
      <c r="G64" s="15" t="n"/>
      <c r="H64" s="15" t="n"/>
      <c r="I64" s="15" t="n"/>
      <c r="J64" s="16" t="n"/>
      <c r="K64" s="16" t="n"/>
      <c r="L64" s="17">
        <f>IF(OR(C64="Epic",J64=""),"",MAX(0,J64-N(K64)))</f>
        <v/>
      </c>
      <c r="M64" s="18" t="n"/>
      <c r="N64" s="19">
        <f>IF(OR(L64="",M64=""),"",L64*M64)</f>
        <v/>
      </c>
      <c r="O64" s="15" t="n"/>
      <c r="P64" s="16" t="n"/>
      <c r="Q64" s="20" t="n"/>
      <c r="R64" s="21">
        <f>IF(OR(B64="",C64="Epic"),"",IF(Q64="",Settings!$B$3,Q64))</f>
        <v/>
      </c>
      <c r="S64" s="21">
        <f>IF(OR(R64="",P64="",N(L64)=0),"",R64-P64-Settings!$B$4)</f>
        <v/>
      </c>
      <c r="T64" s="17">
        <f>IF(S64="","",S64-TODAY())</f>
        <v/>
      </c>
      <c r="U64" s="14">
        <f>IF(OR(B64="",C64="Epic"),"",IF(N(L64)=0,IF(J64="","","ON HAND"),IF(OR(O64="Ordered",O64="Shipped",O64="Received"),O64,IF(S64="","NEED LEAD TIME",IF(T64&lt;0,"OVERDUE",IF(T64&lt;=Settings!$B$5,"ORDER SOON","OK"))))))</f>
        <v/>
      </c>
      <c r="V64" s="15" t="n"/>
    </row>
    <row r="65">
      <c r="A65" s="14">
        <f>IF(B65="","",IF(C65="Epic",IFERROR(INDEX(Lists!$A:$A,MATCH(B65,Lists!$B:$B,0)),"?"),1000+ROW()))</f>
        <v/>
      </c>
      <c r="B65" s="15" t="n"/>
      <c r="C65" s="15" t="n"/>
      <c r="D65" s="15" t="n"/>
      <c r="E65" s="14">
        <f>IF(OR(C65="Epic",D65=""),"",IFERROR(INDEX(Lists!$A:$A,MATCH(D65,Lists!$B:$B,0)),""))</f>
        <v/>
      </c>
      <c r="F65" s="15" t="n"/>
      <c r="G65" s="15" t="n"/>
      <c r="H65" s="15" t="n"/>
      <c r="I65" s="15" t="n"/>
      <c r="J65" s="16" t="n"/>
      <c r="K65" s="16" t="n"/>
      <c r="L65" s="17">
        <f>IF(OR(C65="Epic",J65=""),"",MAX(0,J65-N(K65)))</f>
        <v/>
      </c>
      <c r="M65" s="18" t="n"/>
      <c r="N65" s="19">
        <f>IF(OR(L65="",M65=""),"",L65*M65)</f>
        <v/>
      </c>
      <c r="O65" s="15" t="n"/>
      <c r="P65" s="16" t="n"/>
      <c r="Q65" s="20" t="n"/>
      <c r="R65" s="21">
        <f>IF(OR(B65="",C65="Epic"),"",IF(Q65="",Settings!$B$3,Q65))</f>
        <v/>
      </c>
      <c r="S65" s="21">
        <f>IF(OR(R65="",P65="",N(L65)=0),"",R65-P65-Settings!$B$4)</f>
        <v/>
      </c>
      <c r="T65" s="17">
        <f>IF(S65="","",S65-TODAY())</f>
        <v/>
      </c>
      <c r="U65" s="14">
        <f>IF(OR(B65="",C65="Epic"),"",IF(N(L65)=0,IF(J65="","","ON HAND"),IF(OR(O65="Ordered",O65="Shipped",O65="Received"),O65,IF(S65="","NEED LEAD TIME",IF(T65&lt;0,"OVERDUE",IF(T65&lt;=Settings!$B$5,"ORDER SOON","OK"))))))</f>
        <v/>
      </c>
      <c r="V65" s="15" t="n"/>
    </row>
    <row r="66">
      <c r="A66" s="14">
        <f>IF(B66="","",IF(C66="Epic",IFERROR(INDEX(Lists!$A:$A,MATCH(B66,Lists!$B:$B,0)),"?"),1000+ROW()))</f>
        <v/>
      </c>
      <c r="B66" s="15" t="n"/>
      <c r="C66" s="15" t="n"/>
      <c r="D66" s="15" t="n"/>
      <c r="E66" s="14">
        <f>IF(OR(C66="Epic",D66=""),"",IFERROR(INDEX(Lists!$A:$A,MATCH(D66,Lists!$B:$B,0)),""))</f>
        <v/>
      </c>
      <c r="F66" s="15" t="n"/>
      <c r="G66" s="15" t="n"/>
      <c r="H66" s="15" t="n"/>
      <c r="I66" s="15" t="n"/>
      <c r="J66" s="16" t="n"/>
      <c r="K66" s="16" t="n"/>
      <c r="L66" s="17">
        <f>IF(OR(C66="Epic",J66=""),"",MAX(0,J66-N(K66)))</f>
        <v/>
      </c>
      <c r="M66" s="18" t="n"/>
      <c r="N66" s="19">
        <f>IF(OR(L66="",M66=""),"",L66*M66)</f>
        <v/>
      </c>
      <c r="O66" s="15" t="n"/>
      <c r="P66" s="16" t="n"/>
      <c r="Q66" s="20" t="n"/>
      <c r="R66" s="21">
        <f>IF(OR(B66="",C66="Epic"),"",IF(Q66="",Settings!$B$3,Q66))</f>
        <v/>
      </c>
      <c r="S66" s="21">
        <f>IF(OR(R66="",P66="",N(L66)=0),"",R66-P66-Settings!$B$4)</f>
        <v/>
      </c>
      <c r="T66" s="17">
        <f>IF(S66="","",S66-TODAY())</f>
        <v/>
      </c>
      <c r="U66" s="14">
        <f>IF(OR(B66="",C66="Epic"),"",IF(N(L66)=0,IF(J66="","","ON HAND"),IF(OR(O66="Ordered",O66="Shipped",O66="Received"),O66,IF(S66="","NEED LEAD TIME",IF(T66&lt;0,"OVERDUE",IF(T66&lt;=Settings!$B$5,"ORDER SOON","OK"))))))</f>
        <v/>
      </c>
      <c r="V66" s="15" t="n"/>
    </row>
    <row r="67">
      <c r="A67" s="14">
        <f>IF(B67="","",IF(C67="Epic",IFERROR(INDEX(Lists!$A:$A,MATCH(B67,Lists!$B:$B,0)),"?"),1000+ROW()))</f>
        <v/>
      </c>
      <c r="B67" s="15" t="n"/>
      <c r="C67" s="15" t="n"/>
      <c r="D67" s="15" t="n"/>
      <c r="E67" s="14">
        <f>IF(OR(C67="Epic",D67=""),"",IFERROR(INDEX(Lists!$A:$A,MATCH(D67,Lists!$B:$B,0)),""))</f>
        <v/>
      </c>
      <c r="F67" s="15" t="n"/>
      <c r="G67" s="15" t="n"/>
      <c r="H67" s="15" t="n"/>
      <c r="I67" s="15" t="n"/>
      <c r="J67" s="16" t="n"/>
      <c r="K67" s="16" t="n"/>
      <c r="L67" s="17">
        <f>IF(OR(C67="Epic",J67=""),"",MAX(0,J67-N(K67)))</f>
        <v/>
      </c>
      <c r="M67" s="18" t="n"/>
      <c r="N67" s="19">
        <f>IF(OR(L67="",M67=""),"",L67*M67)</f>
        <v/>
      </c>
      <c r="O67" s="15" t="n"/>
      <c r="P67" s="16" t="n"/>
      <c r="Q67" s="20" t="n"/>
      <c r="R67" s="21">
        <f>IF(OR(B67="",C67="Epic"),"",IF(Q67="",Settings!$B$3,Q67))</f>
        <v/>
      </c>
      <c r="S67" s="21">
        <f>IF(OR(R67="",P67="",N(L67)=0),"",R67-P67-Settings!$B$4)</f>
        <v/>
      </c>
      <c r="T67" s="17">
        <f>IF(S67="","",S67-TODAY())</f>
        <v/>
      </c>
      <c r="U67" s="14">
        <f>IF(OR(B67="",C67="Epic"),"",IF(N(L67)=0,IF(J67="","","ON HAND"),IF(OR(O67="Ordered",O67="Shipped",O67="Received"),O67,IF(S67="","NEED LEAD TIME",IF(T67&lt;0,"OVERDUE",IF(T67&lt;=Settings!$B$5,"ORDER SOON","OK"))))))</f>
        <v/>
      </c>
      <c r="V67" s="15" t="n"/>
    </row>
    <row r="68">
      <c r="A68" s="14">
        <f>IF(B68="","",IF(C68="Epic",IFERROR(INDEX(Lists!$A:$A,MATCH(B68,Lists!$B:$B,0)),"?"),1000+ROW()))</f>
        <v/>
      </c>
      <c r="B68" s="15" t="n"/>
      <c r="C68" s="15" t="n"/>
      <c r="D68" s="15" t="n"/>
      <c r="E68" s="14">
        <f>IF(OR(C68="Epic",D68=""),"",IFERROR(INDEX(Lists!$A:$A,MATCH(D68,Lists!$B:$B,0)),""))</f>
        <v/>
      </c>
      <c r="F68" s="15" t="n"/>
      <c r="G68" s="15" t="n"/>
      <c r="H68" s="15" t="n"/>
      <c r="I68" s="15" t="n"/>
      <c r="J68" s="16" t="n"/>
      <c r="K68" s="16" t="n"/>
      <c r="L68" s="17">
        <f>IF(OR(C68="Epic",J68=""),"",MAX(0,J68-N(K68)))</f>
        <v/>
      </c>
      <c r="M68" s="18" t="n"/>
      <c r="N68" s="19">
        <f>IF(OR(L68="",M68=""),"",L68*M68)</f>
        <v/>
      </c>
      <c r="O68" s="15" t="n"/>
      <c r="P68" s="16" t="n"/>
      <c r="Q68" s="20" t="n"/>
      <c r="R68" s="21">
        <f>IF(OR(B68="",C68="Epic"),"",IF(Q68="",Settings!$B$3,Q68))</f>
        <v/>
      </c>
      <c r="S68" s="21">
        <f>IF(OR(R68="",P68="",N(L68)=0),"",R68-P68-Settings!$B$4)</f>
        <v/>
      </c>
      <c r="T68" s="17">
        <f>IF(S68="","",S68-TODAY())</f>
        <v/>
      </c>
      <c r="U68" s="14">
        <f>IF(OR(B68="",C68="Epic"),"",IF(N(L68)=0,IF(J68="","","ON HAND"),IF(OR(O68="Ordered",O68="Shipped",O68="Received"),O68,IF(S68="","NEED LEAD TIME",IF(T68&lt;0,"OVERDUE",IF(T68&lt;=Settings!$B$5,"ORDER SOON","OK"))))))</f>
        <v/>
      </c>
      <c r="V68" s="15" t="n"/>
    </row>
    <row r="69">
      <c r="A69" s="14">
        <f>IF(B69="","",IF(C69="Epic",IFERROR(INDEX(Lists!$A:$A,MATCH(B69,Lists!$B:$B,0)),"?"),1000+ROW()))</f>
        <v/>
      </c>
      <c r="B69" s="15" t="n"/>
      <c r="C69" s="15" t="n"/>
      <c r="D69" s="15" t="n"/>
      <c r="E69" s="14">
        <f>IF(OR(C69="Epic",D69=""),"",IFERROR(INDEX(Lists!$A:$A,MATCH(D69,Lists!$B:$B,0)),""))</f>
        <v/>
      </c>
      <c r="F69" s="15" t="n"/>
      <c r="G69" s="15" t="n"/>
      <c r="H69" s="15" t="n"/>
      <c r="I69" s="15" t="n"/>
      <c r="J69" s="16" t="n"/>
      <c r="K69" s="16" t="n"/>
      <c r="L69" s="17">
        <f>IF(OR(C69="Epic",J69=""),"",MAX(0,J69-N(K69)))</f>
        <v/>
      </c>
      <c r="M69" s="18" t="n"/>
      <c r="N69" s="19">
        <f>IF(OR(L69="",M69=""),"",L69*M69)</f>
        <v/>
      </c>
      <c r="O69" s="15" t="n"/>
      <c r="P69" s="16" t="n"/>
      <c r="Q69" s="20" t="n"/>
      <c r="R69" s="21">
        <f>IF(OR(B69="",C69="Epic"),"",IF(Q69="",Settings!$B$3,Q69))</f>
        <v/>
      </c>
      <c r="S69" s="21">
        <f>IF(OR(R69="",P69="",N(L69)=0),"",R69-P69-Settings!$B$4)</f>
        <v/>
      </c>
      <c r="T69" s="17">
        <f>IF(S69="","",S69-TODAY())</f>
        <v/>
      </c>
      <c r="U69" s="14">
        <f>IF(OR(B69="",C69="Epic"),"",IF(N(L69)=0,IF(J69="","","ON HAND"),IF(OR(O69="Ordered",O69="Shipped",O69="Received"),O69,IF(S69="","NEED LEAD TIME",IF(T69&lt;0,"OVERDUE",IF(T69&lt;=Settings!$B$5,"ORDER SOON","OK"))))))</f>
        <v/>
      </c>
      <c r="V69" s="15" t="n"/>
    </row>
    <row r="70">
      <c r="A70" s="14">
        <f>IF(B70="","",IF(C70="Epic",IFERROR(INDEX(Lists!$A:$A,MATCH(B70,Lists!$B:$B,0)),"?"),1000+ROW()))</f>
        <v/>
      </c>
      <c r="B70" s="15" t="n"/>
      <c r="C70" s="15" t="n"/>
      <c r="D70" s="15" t="n"/>
      <c r="E70" s="14">
        <f>IF(OR(C70="Epic",D70=""),"",IFERROR(INDEX(Lists!$A:$A,MATCH(D70,Lists!$B:$B,0)),""))</f>
        <v/>
      </c>
      <c r="F70" s="15" t="n"/>
      <c r="G70" s="15" t="n"/>
      <c r="H70" s="15" t="n"/>
      <c r="I70" s="15" t="n"/>
      <c r="J70" s="16" t="n"/>
      <c r="K70" s="16" t="n"/>
      <c r="L70" s="17">
        <f>IF(OR(C70="Epic",J70=""),"",MAX(0,J70-N(K70)))</f>
        <v/>
      </c>
      <c r="M70" s="18" t="n"/>
      <c r="N70" s="19">
        <f>IF(OR(L70="",M70=""),"",L70*M70)</f>
        <v/>
      </c>
      <c r="O70" s="15" t="n"/>
      <c r="P70" s="16" t="n"/>
      <c r="Q70" s="20" t="n"/>
      <c r="R70" s="21">
        <f>IF(OR(B70="",C70="Epic"),"",IF(Q70="",Settings!$B$3,Q70))</f>
        <v/>
      </c>
      <c r="S70" s="21">
        <f>IF(OR(R70="",P70="",N(L70)=0),"",R70-P70-Settings!$B$4)</f>
        <v/>
      </c>
      <c r="T70" s="17">
        <f>IF(S70="","",S70-TODAY())</f>
        <v/>
      </c>
      <c r="U70" s="14">
        <f>IF(OR(B70="",C70="Epic"),"",IF(N(L70)=0,IF(J70="","","ON HAND"),IF(OR(O70="Ordered",O70="Shipped",O70="Received"),O70,IF(S70="","NEED LEAD TIME",IF(T70&lt;0,"OVERDUE",IF(T70&lt;=Settings!$B$5,"ORDER SOON","OK"))))))</f>
        <v/>
      </c>
      <c r="V70" s="15" t="n"/>
    </row>
    <row r="71">
      <c r="A71" s="14">
        <f>IF(B71="","",IF(C71="Epic",IFERROR(INDEX(Lists!$A:$A,MATCH(B71,Lists!$B:$B,0)),"?"),1000+ROW()))</f>
        <v/>
      </c>
      <c r="B71" s="15" t="n"/>
      <c r="C71" s="15" t="n"/>
      <c r="D71" s="15" t="n"/>
      <c r="E71" s="14">
        <f>IF(OR(C71="Epic",D71=""),"",IFERROR(INDEX(Lists!$A:$A,MATCH(D71,Lists!$B:$B,0)),""))</f>
        <v/>
      </c>
      <c r="F71" s="15" t="n"/>
      <c r="G71" s="15" t="n"/>
      <c r="H71" s="15" t="n"/>
      <c r="I71" s="15" t="n"/>
      <c r="J71" s="16" t="n"/>
      <c r="K71" s="16" t="n"/>
      <c r="L71" s="17">
        <f>IF(OR(C71="Epic",J71=""),"",MAX(0,J71-N(K71)))</f>
        <v/>
      </c>
      <c r="M71" s="18" t="n"/>
      <c r="N71" s="19">
        <f>IF(OR(L71="",M71=""),"",L71*M71)</f>
        <v/>
      </c>
      <c r="O71" s="15" t="n"/>
      <c r="P71" s="16" t="n"/>
      <c r="Q71" s="20" t="n"/>
      <c r="R71" s="21">
        <f>IF(OR(B71="",C71="Epic"),"",IF(Q71="",Settings!$B$3,Q71))</f>
        <v/>
      </c>
      <c r="S71" s="21">
        <f>IF(OR(R71="",P71="",N(L71)=0),"",R71-P71-Settings!$B$4)</f>
        <v/>
      </c>
      <c r="T71" s="17">
        <f>IF(S71="","",S71-TODAY())</f>
        <v/>
      </c>
      <c r="U71" s="14">
        <f>IF(OR(B71="",C71="Epic"),"",IF(N(L71)=0,IF(J71="","","ON HAND"),IF(OR(O71="Ordered",O71="Shipped",O71="Received"),O71,IF(S71="","NEED LEAD TIME",IF(T71&lt;0,"OVERDUE",IF(T71&lt;=Settings!$B$5,"ORDER SOON","OK"))))))</f>
        <v/>
      </c>
      <c r="V71" s="15" t="n"/>
    </row>
    <row r="72">
      <c r="A72" s="14">
        <f>IF(B72="","",IF(C72="Epic",IFERROR(INDEX(Lists!$A:$A,MATCH(B72,Lists!$B:$B,0)),"?"),1000+ROW()))</f>
        <v/>
      </c>
      <c r="B72" s="15" t="n"/>
      <c r="C72" s="15" t="n"/>
      <c r="D72" s="15" t="n"/>
      <c r="E72" s="14">
        <f>IF(OR(C72="Epic",D72=""),"",IFERROR(INDEX(Lists!$A:$A,MATCH(D72,Lists!$B:$B,0)),""))</f>
        <v/>
      </c>
      <c r="F72" s="15" t="n"/>
      <c r="G72" s="15" t="n"/>
      <c r="H72" s="15" t="n"/>
      <c r="I72" s="15" t="n"/>
      <c r="J72" s="16" t="n"/>
      <c r="K72" s="16" t="n"/>
      <c r="L72" s="17">
        <f>IF(OR(C72="Epic",J72=""),"",MAX(0,J72-N(K72)))</f>
        <v/>
      </c>
      <c r="M72" s="18" t="n"/>
      <c r="N72" s="19">
        <f>IF(OR(L72="",M72=""),"",L72*M72)</f>
        <v/>
      </c>
      <c r="O72" s="15" t="n"/>
      <c r="P72" s="16" t="n"/>
      <c r="Q72" s="20" t="n"/>
      <c r="R72" s="21">
        <f>IF(OR(B72="",C72="Epic"),"",IF(Q72="",Settings!$B$3,Q72))</f>
        <v/>
      </c>
      <c r="S72" s="21">
        <f>IF(OR(R72="",P72="",N(L72)=0),"",R72-P72-Settings!$B$4)</f>
        <v/>
      </c>
      <c r="T72" s="17">
        <f>IF(S72="","",S72-TODAY())</f>
        <v/>
      </c>
      <c r="U72" s="14">
        <f>IF(OR(B72="",C72="Epic"),"",IF(N(L72)=0,IF(J72="","","ON HAND"),IF(OR(O72="Ordered",O72="Shipped",O72="Received"),O72,IF(S72="","NEED LEAD TIME",IF(T72&lt;0,"OVERDUE",IF(T72&lt;=Settings!$B$5,"ORDER SOON","OK"))))))</f>
        <v/>
      </c>
      <c r="V72" s="15" t="n"/>
    </row>
    <row r="73">
      <c r="A73" s="14">
        <f>IF(B73="","",IF(C73="Epic",IFERROR(INDEX(Lists!$A:$A,MATCH(B73,Lists!$B:$B,0)),"?"),1000+ROW()))</f>
        <v/>
      </c>
      <c r="B73" s="15" t="n"/>
      <c r="C73" s="15" t="n"/>
      <c r="D73" s="15" t="n"/>
      <c r="E73" s="14">
        <f>IF(OR(C73="Epic",D73=""),"",IFERROR(INDEX(Lists!$A:$A,MATCH(D73,Lists!$B:$B,0)),""))</f>
        <v/>
      </c>
      <c r="F73" s="15" t="n"/>
      <c r="G73" s="15" t="n"/>
      <c r="H73" s="15" t="n"/>
      <c r="I73" s="15" t="n"/>
      <c r="J73" s="16" t="n"/>
      <c r="K73" s="16" t="n"/>
      <c r="L73" s="17">
        <f>IF(OR(C73="Epic",J73=""),"",MAX(0,J73-N(K73)))</f>
        <v/>
      </c>
      <c r="M73" s="18" t="n"/>
      <c r="N73" s="19">
        <f>IF(OR(L73="",M73=""),"",L73*M73)</f>
        <v/>
      </c>
      <c r="O73" s="15" t="n"/>
      <c r="P73" s="16" t="n"/>
      <c r="Q73" s="20" t="n"/>
      <c r="R73" s="21">
        <f>IF(OR(B73="",C73="Epic"),"",IF(Q73="",Settings!$B$3,Q73))</f>
        <v/>
      </c>
      <c r="S73" s="21">
        <f>IF(OR(R73="",P73="",N(L73)=0),"",R73-P73-Settings!$B$4)</f>
        <v/>
      </c>
      <c r="T73" s="17">
        <f>IF(S73="","",S73-TODAY())</f>
        <v/>
      </c>
      <c r="U73" s="14">
        <f>IF(OR(B73="",C73="Epic"),"",IF(N(L73)=0,IF(J73="","","ON HAND"),IF(OR(O73="Ordered",O73="Shipped",O73="Received"),O73,IF(S73="","NEED LEAD TIME",IF(T73&lt;0,"OVERDUE",IF(T73&lt;=Settings!$B$5,"ORDER SOON","OK"))))))</f>
        <v/>
      </c>
      <c r="V73" s="15" t="n"/>
    </row>
    <row r="74">
      <c r="A74" s="14">
        <f>IF(B74="","",IF(C74="Epic",IFERROR(INDEX(Lists!$A:$A,MATCH(B74,Lists!$B:$B,0)),"?"),1000+ROW()))</f>
        <v/>
      </c>
      <c r="B74" s="15" t="n"/>
      <c r="C74" s="15" t="n"/>
      <c r="D74" s="15" t="n"/>
      <c r="E74" s="14">
        <f>IF(OR(C74="Epic",D74=""),"",IFERROR(INDEX(Lists!$A:$A,MATCH(D74,Lists!$B:$B,0)),""))</f>
        <v/>
      </c>
      <c r="F74" s="15" t="n"/>
      <c r="G74" s="15" t="n"/>
      <c r="H74" s="15" t="n"/>
      <c r="I74" s="15" t="n"/>
      <c r="J74" s="16" t="n"/>
      <c r="K74" s="16" t="n"/>
      <c r="L74" s="17">
        <f>IF(OR(C74="Epic",J74=""),"",MAX(0,J74-N(K74)))</f>
        <v/>
      </c>
      <c r="M74" s="18" t="n"/>
      <c r="N74" s="19">
        <f>IF(OR(L74="",M74=""),"",L74*M74)</f>
        <v/>
      </c>
      <c r="O74" s="15" t="n"/>
      <c r="P74" s="16" t="n"/>
      <c r="Q74" s="20" t="n"/>
      <c r="R74" s="21">
        <f>IF(OR(B74="",C74="Epic"),"",IF(Q74="",Settings!$B$3,Q74))</f>
        <v/>
      </c>
      <c r="S74" s="21">
        <f>IF(OR(R74="",P74="",N(L74)=0),"",R74-P74-Settings!$B$4)</f>
        <v/>
      </c>
      <c r="T74" s="17">
        <f>IF(S74="","",S74-TODAY())</f>
        <v/>
      </c>
      <c r="U74" s="14">
        <f>IF(OR(B74="",C74="Epic"),"",IF(N(L74)=0,IF(J74="","","ON HAND"),IF(OR(O74="Ordered",O74="Shipped",O74="Received"),O74,IF(S74="","NEED LEAD TIME",IF(T74&lt;0,"OVERDUE",IF(T74&lt;=Settings!$B$5,"ORDER SOON","OK"))))))</f>
        <v/>
      </c>
      <c r="V74" s="15" t="n"/>
    </row>
    <row r="75">
      <c r="A75" s="14">
        <f>IF(B75="","",IF(C75="Epic",IFERROR(INDEX(Lists!$A:$A,MATCH(B75,Lists!$B:$B,0)),"?"),1000+ROW()))</f>
        <v/>
      </c>
      <c r="B75" s="15" t="n"/>
      <c r="C75" s="15" t="n"/>
      <c r="D75" s="15" t="n"/>
      <c r="E75" s="14">
        <f>IF(OR(C75="Epic",D75=""),"",IFERROR(INDEX(Lists!$A:$A,MATCH(D75,Lists!$B:$B,0)),""))</f>
        <v/>
      </c>
      <c r="F75" s="15" t="n"/>
      <c r="G75" s="15" t="n"/>
      <c r="H75" s="15" t="n"/>
      <c r="I75" s="15" t="n"/>
      <c r="J75" s="16" t="n"/>
      <c r="K75" s="16" t="n"/>
      <c r="L75" s="17">
        <f>IF(OR(C75="Epic",J75=""),"",MAX(0,J75-N(K75)))</f>
        <v/>
      </c>
      <c r="M75" s="18" t="n"/>
      <c r="N75" s="19">
        <f>IF(OR(L75="",M75=""),"",L75*M75)</f>
        <v/>
      </c>
      <c r="O75" s="15" t="n"/>
      <c r="P75" s="16" t="n"/>
      <c r="Q75" s="20" t="n"/>
      <c r="R75" s="21">
        <f>IF(OR(B75="",C75="Epic"),"",IF(Q75="",Settings!$B$3,Q75))</f>
        <v/>
      </c>
      <c r="S75" s="21">
        <f>IF(OR(R75="",P75="",N(L75)=0),"",R75-P75-Settings!$B$4)</f>
        <v/>
      </c>
      <c r="T75" s="17">
        <f>IF(S75="","",S75-TODAY())</f>
        <v/>
      </c>
      <c r="U75" s="14">
        <f>IF(OR(B75="",C75="Epic"),"",IF(N(L75)=0,IF(J75="","","ON HAND"),IF(OR(O75="Ordered",O75="Shipped",O75="Received"),O75,IF(S75="","NEED LEAD TIME",IF(T75&lt;0,"OVERDUE",IF(T75&lt;=Settings!$B$5,"ORDER SOON","OK"))))))</f>
        <v/>
      </c>
      <c r="V75" s="15" t="n"/>
    </row>
    <row r="76">
      <c r="A76" s="14">
        <f>IF(B76="","",IF(C76="Epic",IFERROR(INDEX(Lists!$A:$A,MATCH(B76,Lists!$B:$B,0)),"?"),1000+ROW()))</f>
        <v/>
      </c>
      <c r="B76" s="15" t="n"/>
      <c r="C76" s="15" t="n"/>
      <c r="D76" s="15" t="n"/>
      <c r="E76" s="14">
        <f>IF(OR(C76="Epic",D76=""),"",IFERROR(INDEX(Lists!$A:$A,MATCH(D76,Lists!$B:$B,0)),""))</f>
        <v/>
      </c>
      <c r="F76" s="15" t="n"/>
      <c r="G76" s="15" t="n"/>
      <c r="H76" s="15" t="n"/>
      <c r="I76" s="15" t="n"/>
      <c r="J76" s="16" t="n"/>
      <c r="K76" s="16" t="n"/>
      <c r="L76" s="17">
        <f>IF(OR(C76="Epic",J76=""),"",MAX(0,J76-N(K76)))</f>
        <v/>
      </c>
      <c r="M76" s="18" t="n"/>
      <c r="N76" s="19">
        <f>IF(OR(L76="",M76=""),"",L76*M76)</f>
        <v/>
      </c>
      <c r="O76" s="15" t="n"/>
      <c r="P76" s="16" t="n"/>
      <c r="Q76" s="20" t="n"/>
      <c r="R76" s="21">
        <f>IF(OR(B76="",C76="Epic"),"",IF(Q76="",Settings!$B$3,Q76))</f>
        <v/>
      </c>
      <c r="S76" s="21">
        <f>IF(OR(R76="",P76="",N(L76)=0),"",R76-P76-Settings!$B$4)</f>
        <v/>
      </c>
      <c r="T76" s="17">
        <f>IF(S76="","",S76-TODAY())</f>
        <v/>
      </c>
      <c r="U76" s="14">
        <f>IF(OR(B76="",C76="Epic"),"",IF(N(L76)=0,IF(J76="","","ON HAND"),IF(OR(O76="Ordered",O76="Shipped",O76="Received"),O76,IF(S76="","NEED LEAD TIME",IF(T76&lt;0,"OVERDUE",IF(T76&lt;=Settings!$B$5,"ORDER SOON","OK"))))))</f>
        <v/>
      </c>
      <c r="V76" s="15" t="n"/>
    </row>
    <row r="77">
      <c r="A77" s="14">
        <f>IF(B77="","",IF(C77="Epic",IFERROR(INDEX(Lists!$A:$A,MATCH(B77,Lists!$B:$B,0)),"?"),1000+ROW()))</f>
        <v/>
      </c>
      <c r="B77" s="15" t="n"/>
      <c r="C77" s="15" t="n"/>
      <c r="D77" s="15" t="n"/>
      <c r="E77" s="14">
        <f>IF(OR(C77="Epic",D77=""),"",IFERROR(INDEX(Lists!$A:$A,MATCH(D77,Lists!$B:$B,0)),""))</f>
        <v/>
      </c>
      <c r="F77" s="15" t="n"/>
      <c r="G77" s="15" t="n"/>
      <c r="H77" s="15" t="n"/>
      <c r="I77" s="15" t="n"/>
      <c r="J77" s="16" t="n"/>
      <c r="K77" s="16" t="n"/>
      <c r="L77" s="17">
        <f>IF(OR(C77="Epic",J77=""),"",MAX(0,J77-N(K77)))</f>
        <v/>
      </c>
      <c r="M77" s="18" t="n"/>
      <c r="N77" s="19">
        <f>IF(OR(L77="",M77=""),"",L77*M77)</f>
        <v/>
      </c>
      <c r="O77" s="15" t="n"/>
      <c r="P77" s="16" t="n"/>
      <c r="Q77" s="20" t="n"/>
      <c r="R77" s="21">
        <f>IF(OR(B77="",C77="Epic"),"",IF(Q77="",Settings!$B$3,Q77))</f>
        <v/>
      </c>
      <c r="S77" s="21">
        <f>IF(OR(R77="",P77="",N(L77)=0),"",R77-P77-Settings!$B$4)</f>
        <v/>
      </c>
      <c r="T77" s="17">
        <f>IF(S77="","",S77-TODAY())</f>
        <v/>
      </c>
      <c r="U77" s="14">
        <f>IF(OR(B77="",C77="Epic"),"",IF(N(L77)=0,IF(J77="","","ON HAND"),IF(OR(O77="Ordered",O77="Shipped",O77="Received"),O77,IF(S77="","NEED LEAD TIME",IF(T77&lt;0,"OVERDUE",IF(T77&lt;=Settings!$B$5,"ORDER SOON","OK"))))))</f>
        <v/>
      </c>
      <c r="V77" s="15" t="n"/>
    </row>
    <row r="78">
      <c r="A78" s="14">
        <f>IF(B78="","",IF(C78="Epic",IFERROR(INDEX(Lists!$A:$A,MATCH(B78,Lists!$B:$B,0)),"?"),1000+ROW()))</f>
        <v/>
      </c>
      <c r="B78" s="15" t="n"/>
      <c r="C78" s="15" t="n"/>
      <c r="D78" s="15" t="n"/>
      <c r="E78" s="14">
        <f>IF(OR(C78="Epic",D78=""),"",IFERROR(INDEX(Lists!$A:$A,MATCH(D78,Lists!$B:$B,0)),""))</f>
        <v/>
      </c>
      <c r="F78" s="15" t="n"/>
      <c r="G78" s="15" t="n"/>
      <c r="H78" s="15" t="n"/>
      <c r="I78" s="15" t="n"/>
      <c r="J78" s="16" t="n"/>
      <c r="K78" s="16" t="n"/>
      <c r="L78" s="17">
        <f>IF(OR(C78="Epic",J78=""),"",MAX(0,J78-N(K78)))</f>
        <v/>
      </c>
      <c r="M78" s="18" t="n"/>
      <c r="N78" s="19">
        <f>IF(OR(L78="",M78=""),"",L78*M78)</f>
        <v/>
      </c>
      <c r="O78" s="15" t="n"/>
      <c r="P78" s="16" t="n"/>
      <c r="Q78" s="20" t="n"/>
      <c r="R78" s="21">
        <f>IF(OR(B78="",C78="Epic"),"",IF(Q78="",Settings!$B$3,Q78))</f>
        <v/>
      </c>
      <c r="S78" s="21">
        <f>IF(OR(R78="",P78="",N(L78)=0),"",R78-P78-Settings!$B$4)</f>
        <v/>
      </c>
      <c r="T78" s="17">
        <f>IF(S78="","",S78-TODAY())</f>
        <v/>
      </c>
      <c r="U78" s="14">
        <f>IF(OR(B78="",C78="Epic"),"",IF(N(L78)=0,IF(J78="","","ON HAND"),IF(OR(O78="Ordered",O78="Shipped",O78="Received"),O78,IF(S78="","NEED LEAD TIME",IF(T78&lt;0,"OVERDUE",IF(T78&lt;=Settings!$B$5,"ORDER SOON","OK"))))))</f>
        <v/>
      </c>
      <c r="V78" s="15" t="n"/>
    </row>
    <row r="79">
      <c r="A79" s="14">
        <f>IF(B79="","",IF(C79="Epic",IFERROR(INDEX(Lists!$A:$A,MATCH(B79,Lists!$B:$B,0)),"?"),1000+ROW()))</f>
        <v/>
      </c>
      <c r="B79" s="15" t="n"/>
      <c r="C79" s="15" t="n"/>
      <c r="D79" s="15" t="n"/>
      <c r="E79" s="14">
        <f>IF(OR(C79="Epic",D79=""),"",IFERROR(INDEX(Lists!$A:$A,MATCH(D79,Lists!$B:$B,0)),""))</f>
        <v/>
      </c>
      <c r="F79" s="15" t="n"/>
      <c r="G79" s="15" t="n"/>
      <c r="H79" s="15" t="n"/>
      <c r="I79" s="15" t="n"/>
      <c r="J79" s="16" t="n"/>
      <c r="K79" s="16" t="n"/>
      <c r="L79" s="17">
        <f>IF(OR(C79="Epic",J79=""),"",MAX(0,J79-N(K79)))</f>
        <v/>
      </c>
      <c r="M79" s="18" t="n"/>
      <c r="N79" s="19">
        <f>IF(OR(L79="",M79=""),"",L79*M79)</f>
        <v/>
      </c>
      <c r="O79" s="15" t="n"/>
      <c r="P79" s="16" t="n"/>
      <c r="Q79" s="20" t="n"/>
      <c r="R79" s="21">
        <f>IF(OR(B79="",C79="Epic"),"",IF(Q79="",Settings!$B$3,Q79))</f>
        <v/>
      </c>
      <c r="S79" s="21">
        <f>IF(OR(R79="",P79="",N(L79)=0),"",R79-P79-Settings!$B$4)</f>
        <v/>
      </c>
      <c r="T79" s="17">
        <f>IF(S79="","",S79-TODAY())</f>
        <v/>
      </c>
      <c r="U79" s="14">
        <f>IF(OR(B79="",C79="Epic"),"",IF(N(L79)=0,IF(J79="","","ON HAND"),IF(OR(O79="Ordered",O79="Shipped",O79="Received"),O79,IF(S79="","NEED LEAD TIME",IF(T79&lt;0,"OVERDUE",IF(T79&lt;=Settings!$B$5,"ORDER SOON","OK"))))))</f>
        <v/>
      </c>
      <c r="V79" s="15" t="n"/>
    </row>
    <row r="80">
      <c r="A80" s="14">
        <f>IF(B80="","",IF(C80="Epic",IFERROR(INDEX(Lists!$A:$A,MATCH(B80,Lists!$B:$B,0)),"?"),1000+ROW()))</f>
        <v/>
      </c>
      <c r="B80" s="15" t="n"/>
      <c r="C80" s="15" t="n"/>
      <c r="D80" s="15" t="n"/>
      <c r="E80" s="14">
        <f>IF(OR(C80="Epic",D80=""),"",IFERROR(INDEX(Lists!$A:$A,MATCH(D80,Lists!$B:$B,0)),""))</f>
        <v/>
      </c>
      <c r="F80" s="15" t="n"/>
      <c r="G80" s="15" t="n"/>
      <c r="H80" s="15" t="n"/>
      <c r="I80" s="15" t="n"/>
      <c r="J80" s="16" t="n"/>
      <c r="K80" s="16" t="n"/>
      <c r="L80" s="17">
        <f>IF(OR(C80="Epic",J80=""),"",MAX(0,J80-N(K80)))</f>
        <v/>
      </c>
      <c r="M80" s="18" t="n"/>
      <c r="N80" s="19">
        <f>IF(OR(L80="",M80=""),"",L80*M80)</f>
        <v/>
      </c>
      <c r="O80" s="15" t="n"/>
      <c r="P80" s="16" t="n"/>
      <c r="Q80" s="20" t="n"/>
      <c r="R80" s="21">
        <f>IF(OR(B80="",C80="Epic"),"",IF(Q80="",Settings!$B$3,Q80))</f>
        <v/>
      </c>
      <c r="S80" s="21">
        <f>IF(OR(R80="",P80="",N(L80)=0),"",R80-P80-Settings!$B$4)</f>
        <v/>
      </c>
      <c r="T80" s="17">
        <f>IF(S80="","",S80-TODAY())</f>
        <v/>
      </c>
      <c r="U80" s="14">
        <f>IF(OR(B80="",C80="Epic"),"",IF(N(L80)=0,IF(J80="","","ON HAND"),IF(OR(O80="Ordered",O80="Shipped",O80="Received"),O80,IF(S80="","NEED LEAD TIME",IF(T80&lt;0,"OVERDUE",IF(T80&lt;=Settings!$B$5,"ORDER SOON","OK"))))))</f>
        <v/>
      </c>
      <c r="V80" s="15" t="n"/>
    </row>
    <row r="81">
      <c r="A81" s="14">
        <f>IF(B81="","",IF(C81="Epic",IFERROR(INDEX(Lists!$A:$A,MATCH(B81,Lists!$B:$B,0)),"?"),1000+ROW()))</f>
        <v/>
      </c>
      <c r="B81" s="15" t="n"/>
      <c r="C81" s="15" t="n"/>
      <c r="D81" s="15" t="n"/>
      <c r="E81" s="14">
        <f>IF(OR(C81="Epic",D81=""),"",IFERROR(INDEX(Lists!$A:$A,MATCH(D81,Lists!$B:$B,0)),""))</f>
        <v/>
      </c>
      <c r="F81" s="15" t="n"/>
      <c r="G81" s="15" t="n"/>
      <c r="H81" s="15" t="n"/>
      <c r="I81" s="15" t="n"/>
      <c r="J81" s="16" t="n"/>
      <c r="K81" s="16" t="n"/>
      <c r="L81" s="17">
        <f>IF(OR(C81="Epic",J81=""),"",MAX(0,J81-N(K81)))</f>
        <v/>
      </c>
      <c r="M81" s="18" t="n"/>
      <c r="N81" s="19">
        <f>IF(OR(L81="",M81=""),"",L81*M81)</f>
        <v/>
      </c>
      <c r="O81" s="15" t="n"/>
      <c r="P81" s="16" t="n"/>
      <c r="Q81" s="20" t="n"/>
      <c r="R81" s="21">
        <f>IF(OR(B81="",C81="Epic"),"",IF(Q81="",Settings!$B$3,Q81))</f>
        <v/>
      </c>
      <c r="S81" s="21">
        <f>IF(OR(R81="",P81="",N(L81)=0),"",R81-P81-Settings!$B$4)</f>
        <v/>
      </c>
      <c r="T81" s="17">
        <f>IF(S81="","",S81-TODAY())</f>
        <v/>
      </c>
      <c r="U81" s="14">
        <f>IF(OR(B81="",C81="Epic"),"",IF(N(L81)=0,IF(J81="","","ON HAND"),IF(OR(O81="Ordered",O81="Shipped",O81="Received"),O81,IF(S81="","NEED LEAD TIME",IF(T81&lt;0,"OVERDUE",IF(T81&lt;=Settings!$B$5,"ORDER SOON","OK"))))))</f>
        <v/>
      </c>
      <c r="V81" s="15" t="n"/>
    </row>
    <row r="82">
      <c r="A82" s="14">
        <f>IF(B82="","",IF(C82="Epic",IFERROR(INDEX(Lists!$A:$A,MATCH(B82,Lists!$B:$B,0)),"?"),1000+ROW()))</f>
        <v/>
      </c>
      <c r="B82" s="15" t="n"/>
      <c r="C82" s="15" t="n"/>
      <c r="D82" s="15" t="n"/>
      <c r="E82" s="14">
        <f>IF(OR(C82="Epic",D82=""),"",IFERROR(INDEX(Lists!$A:$A,MATCH(D82,Lists!$B:$B,0)),""))</f>
        <v/>
      </c>
      <c r="F82" s="15" t="n"/>
      <c r="G82" s="15" t="n"/>
      <c r="H82" s="15" t="n"/>
      <c r="I82" s="15" t="n"/>
      <c r="J82" s="16" t="n"/>
      <c r="K82" s="16" t="n"/>
      <c r="L82" s="17">
        <f>IF(OR(C82="Epic",J82=""),"",MAX(0,J82-N(K82)))</f>
        <v/>
      </c>
      <c r="M82" s="18" t="n"/>
      <c r="N82" s="19">
        <f>IF(OR(L82="",M82=""),"",L82*M82)</f>
        <v/>
      </c>
      <c r="O82" s="15" t="n"/>
      <c r="P82" s="16" t="n"/>
      <c r="Q82" s="20" t="n"/>
      <c r="R82" s="21">
        <f>IF(OR(B82="",C82="Epic"),"",IF(Q82="",Settings!$B$3,Q82))</f>
        <v/>
      </c>
      <c r="S82" s="21">
        <f>IF(OR(R82="",P82="",N(L82)=0),"",R82-P82-Settings!$B$4)</f>
        <v/>
      </c>
      <c r="T82" s="17">
        <f>IF(S82="","",S82-TODAY())</f>
        <v/>
      </c>
      <c r="U82" s="14">
        <f>IF(OR(B82="",C82="Epic"),"",IF(N(L82)=0,IF(J82="","","ON HAND"),IF(OR(O82="Ordered",O82="Shipped",O82="Received"),O82,IF(S82="","NEED LEAD TIME",IF(T82&lt;0,"OVERDUE",IF(T82&lt;=Settings!$B$5,"ORDER SOON","OK"))))))</f>
        <v/>
      </c>
      <c r="V82" s="15" t="n"/>
    </row>
    <row r="83">
      <c r="A83" s="14">
        <f>IF(B83="","",IF(C83="Epic",IFERROR(INDEX(Lists!$A:$A,MATCH(B83,Lists!$B:$B,0)),"?"),1000+ROW()))</f>
        <v/>
      </c>
      <c r="B83" s="15" t="n"/>
      <c r="C83" s="15" t="n"/>
      <c r="D83" s="15" t="n"/>
      <c r="E83" s="14">
        <f>IF(OR(C83="Epic",D83=""),"",IFERROR(INDEX(Lists!$A:$A,MATCH(D83,Lists!$B:$B,0)),""))</f>
        <v/>
      </c>
      <c r="F83" s="15" t="n"/>
      <c r="G83" s="15" t="n"/>
      <c r="H83" s="15" t="n"/>
      <c r="I83" s="15" t="n"/>
      <c r="J83" s="16" t="n"/>
      <c r="K83" s="16" t="n"/>
      <c r="L83" s="17">
        <f>IF(OR(C83="Epic",J83=""),"",MAX(0,J83-N(K83)))</f>
        <v/>
      </c>
      <c r="M83" s="18" t="n"/>
      <c r="N83" s="19">
        <f>IF(OR(L83="",M83=""),"",L83*M83)</f>
        <v/>
      </c>
      <c r="O83" s="15" t="n"/>
      <c r="P83" s="16" t="n"/>
      <c r="Q83" s="20" t="n"/>
      <c r="R83" s="21">
        <f>IF(OR(B83="",C83="Epic"),"",IF(Q83="",Settings!$B$3,Q83))</f>
        <v/>
      </c>
      <c r="S83" s="21">
        <f>IF(OR(R83="",P83="",N(L83)=0),"",R83-P83-Settings!$B$4)</f>
        <v/>
      </c>
      <c r="T83" s="17">
        <f>IF(S83="","",S83-TODAY())</f>
        <v/>
      </c>
      <c r="U83" s="14">
        <f>IF(OR(B83="",C83="Epic"),"",IF(N(L83)=0,IF(J83="","","ON HAND"),IF(OR(O83="Ordered",O83="Shipped",O83="Received"),O83,IF(S83="","NEED LEAD TIME",IF(T83&lt;0,"OVERDUE",IF(T83&lt;=Settings!$B$5,"ORDER SOON","OK"))))))</f>
        <v/>
      </c>
      <c r="V83" s="15" t="n"/>
    </row>
    <row r="84">
      <c r="A84" s="14">
        <f>IF(B84="","",IF(C84="Epic",IFERROR(INDEX(Lists!$A:$A,MATCH(B84,Lists!$B:$B,0)),"?"),1000+ROW()))</f>
        <v/>
      </c>
      <c r="B84" s="15" t="n"/>
      <c r="C84" s="15" t="n"/>
      <c r="D84" s="15" t="n"/>
      <c r="E84" s="14">
        <f>IF(OR(C84="Epic",D84=""),"",IFERROR(INDEX(Lists!$A:$A,MATCH(D84,Lists!$B:$B,0)),""))</f>
        <v/>
      </c>
      <c r="F84" s="15" t="n"/>
      <c r="G84" s="15" t="n"/>
      <c r="H84" s="15" t="n"/>
      <c r="I84" s="15" t="n"/>
      <c r="J84" s="16" t="n"/>
      <c r="K84" s="16" t="n"/>
      <c r="L84" s="17">
        <f>IF(OR(C84="Epic",J84=""),"",MAX(0,J84-N(K84)))</f>
        <v/>
      </c>
      <c r="M84" s="18" t="n"/>
      <c r="N84" s="19">
        <f>IF(OR(L84="",M84=""),"",L84*M84)</f>
        <v/>
      </c>
      <c r="O84" s="15" t="n"/>
      <c r="P84" s="16" t="n"/>
      <c r="Q84" s="20" t="n"/>
      <c r="R84" s="21">
        <f>IF(OR(B84="",C84="Epic"),"",IF(Q84="",Settings!$B$3,Q84))</f>
        <v/>
      </c>
      <c r="S84" s="21">
        <f>IF(OR(R84="",P84="",N(L84)=0),"",R84-P84-Settings!$B$4)</f>
        <v/>
      </c>
      <c r="T84" s="17">
        <f>IF(S84="","",S84-TODAY())</f>
        <v/>
      </c>
      <c r="U84" s="14">
        <f>IF(OR(B84="",C84="Epic"),"",IF(N(L84)=0,IF(J84="","","ON HAND"),IF(OR(O84="Ordered",O84="Shipped",O84="Received"),O84,IF(S84="","NEED LEAD TIME",IF(T84&lt;0,"OVERDUE",IF(T84&lt;=Settings!$B$5,"ORDER SOON","OK"))))))</f>
        <v/>
      </c>
      <c r="V84" s="15" t="n"/>
    </row>
    <row r="85">
      <c r="A85" s="14">
        <f>IF(B85="","",IF(C85="Epic",IFERROR(INDEX(Lists!$A:$A,MATCH(B85,Lists!$B:$B,0)),"?"),1000+ROW()))</f>
        <v/>
      </c>
      <c r="B85" s="15" t="n"/>
      <c r="C85" s="15" t="n"/>
      <c r="D85" s="15" t="n"/>
      <c r="E85" s="14">
        <f>IF(OR(C85="Epic",D85=""),"",IFERROR(INDEX(Lists!$A:$A,MATCH(D85,Lists!$B:$B,0)),""))</f>
        <v/>
      </c>
      <c r="F85" s="15" t="n"/>
      <c r="G85" s="15" t="n"/>
      <c r="H85" s="15" t="n"/>
      <c r="I85" s="15" t="n"/>
      <c r="J85" s="16" t="n"/>
      <c r="K85" s="16" t="n"/>
      <c r="L85" s="17">
        <f>IF(OR(C85="Epic",J85=""),"",MAX(0,J85-N(K85)))</f>
        <v/>
      </c>
      <c r="M85" s="18" t="n"/>
      <c r="N85" s="19">
        <f>IF(OR(L85="",M85=""),"",L85*M85)</f>
        <v/>
      </c>
      <c r="O85" s="15" t="n"/>
      <c r="P85" s="16" t="n"/>
      <c r="Q85" s="20" t="n"/>
      <c r="R85" s="21">
        <f>IF(OR(B85="",C85="Epic"),"",IF(Q85="",Settings!$B$3,Q85))</f>
        <v/>
      </c>
      <c r="S85" s="21">
        <f>IF(OR(R85="",P85="",N(L85)=0),"",R85-P85-Settings!$B$4)</f>
        <v/>
      </c>
      <c r="T85" s="17">
        <f>IF(S85="","",S85-TODAY())</f>
        <v/>
      </c>
      <c r="U85" s="14">
        <f>IF(OR(B85="",C85="Epic"),"",IF(N(L85)=0,IF(J85="","","ON HAND"),IF(OR(O85="Ordered",O85="Shipped",O85="Received"),O85,IF(S85="","NEED LEAD TIME",IF(T85&lt;0,"OVERDUE",IF(T85&lt;=Settings!$B$5,"ORDER SOON","OK"))))))</f>
        <v/>
      </c>
      <c r="V85" s="15" t="n"/>
    </row>
    <row r="86">
      <c r="A86" s="14">
        <f>IF(B86="","",IF(C86="Epic",IFERROR(INDEX(Lists!$A:$A,MATCH(B86,Lists!$B:$B,0)),"?"),1000+ROW()))</f>
        <v/>
      </c>
      <c r="B86" s="15" t="n"/>
      <c r="C86" s="15" t="n"/>
      <c r="D86" s="15" t="n"/>
      <c r="E86" s="14">
        <f>IF(OR(C86="Epic",D86=""),"",IFERROR(INDEX(Lists!$A:$A,MATCH(D86,Lists!$B:$B,0)),""))</f>
        <v/>
      </c>
      <c r="F86" s="15" t="n"/>
      <c r="G86" s="15" t="n"/>
      <c r="H86" s="15" t="n"/>
      <c r="I86" s="15" t="n"/>
      <c r="J86" s="16" t="n"/>
      <c r="K86" s="16" t="n"/>
      <c r="L86" s="17">
        <f>IF(OR(C86="Epic",J86=""),"",MAX(0,J86-N(K86)))</f>
        <v/>
      </c>
      <c r="M86" s="18" t="n"/>
      <c r="N86" s="19">
        <f>IF(OR(L86="",M86=""),"",L86*M86)</f>
        <v/>
      </c>
      <c r="O86" s="15" t="n"/>
      <c r="P86" s="16" t="n"/>
      <c r="Q86" s="20" t="n"/>
      <c r="R86" s="21">
        <f>IF(OR(B86="",C86="Epic"),"",IF(Q86="",Settings!$B$3,Q86))</f>
        <v/>
      </c>
      <c r="S86" s="21">
        <f>IF(OR(R86="",P86="",N(L86)=0),"",R86-P86-Settings!$B$4)</f>
        <v/>
      </c>
      <c r="T86" s="17">
        <f>IF(S86="","",S86-TODAY())</f>
        <v/>
      </c>
      <c r="U86" s="14">
        <f>IF(OR(B86="",C86="Epic"),"",IF(N(L86)=0,IF(J86="","","ON HAND"),IF(OR(O86="Ordered",O86="Shipped",O86="Received"),O86,IF(S86="","NEED LEAD TIME",IF(T86&lt;0,"OVERDUE",IF(T86&lt;=Settings!$B$5,"ORDER SOON","OK"))))))</f>
        <v/>
      </c>
      <c r="V86" s="15" t="n"/>
    </row>
    <row r="87">
      <c r="A87" s="14">
        <f>IF(B87="","",IF(C87="Epic",IFERROR(INDEX(Lists!$A:$A,MATCH(B87,Lists!$B:$B,0)),"?"),1000+ROW()))</f>
        <v/>
      </c>
      <c r="B87" s="15" t="n"/>
      <c r="C87" s="15" t="n"/>
      <c r="D87" s="15" t="n"/>
      <c r="E87" s="14">
        <f>IF(OR(C87="Epic",D87=""),"",IFERROR(INDEX(Lists!$A:$A,MATCH(D87,Lists!$B:$B,0)),""))</f>
        <v/>
      </c>
      <c r="F87" s="15" t="n"/>
      <c r="G87" s="15" t="n"/>
      <c r="H87" s="15" t="n"/>
      <c r="I87" s="15" t="n"/>
      <c r="J87" s="16" t="n"/>
      <c r="K87" s="16" t="n"/>
      <c r="L87" s="17">
        <f>IF(OR(C87="Epic",J87=""),"",MAX(0,J87-N(K87)))</f>
        <v/>
      </c>
      <c r="M87" s="18" t="n"/>
      <c r="N87" s="19">
        <f>IF(OR(L87="",M87=""),"",L87*M87)</f>
        <v/>
      </c>
      <c r="O87" s="15" t="n"/>
      <c r="P87" s="16" t="n"/>
      <c r="Q87" s="20" t="n"/>
      <c r="R87" s="21">
        <f>IF(OR(B87="",C87="Epic"),"",IF(Q87="",Settings!$B$3,Q87))</f>
        <v/>
      </c>
      <c r="S87" s="21">
        <f>IF(OR(R87="",P87="",N(L87)=0),"",R87-P87-Settings!$B$4)</f>
        <v/>
      </c>
      <c r="T87" s="17">
        <f>IF(S87="","",S87-TODAY())</f>
        <v/>
      </c>
      <c r="U87" s="14">
        <f>IF(OR(B87="",C87="Epic"),"",IF(N(L87)=0,IF(J87="","","ON HAND"),IF(OR(O87="Ordered",O87="Shipped",O87="Received"),O87,IF(S87="","NEED LEAD TIME",IF(T87&lt;0,"OVERDUE",IF(T87&lt;=Settings!$B$5,"ORDER SOON","OK"))))))</f>
        <v/>
      </c>
      <c r="V87" s="15" t="n"/>
    </row>
    <row r="88">
      <c r="A88" s="14">
        <f>IF(B88="","",IF(C88="Epic",IFERROR(INDEX(Lists!$A:$A,MATCH(B88,Lists!$B:$B,0)),"?"),1000+ROW()))</f>
        <v/>
      </c>
      <c r="B88" s="15" t="n"/>
      <c r="C88" s="15" t="n"/>
      <c r="D88" s="15" t="n"/>
      <c r="E88" s="14">
        <f>IF(OR(C88="Epic",D88=""),"",IFERROR(INDEX(Lists!$A:$A,MATCH(D88,Lists!$B:$B,0)),""))</f>
        <v/>
      </c>
      <c r="F88" s="15" t="n"/>
      <c r="G88" s="15" t="n"/>
      <c r="H88" s="15" t="n"/>
      <c r="I88" s="15" t="n"/>
      <c r="J88" s="16" t="n"/>
      <c r="K88" s="16" t="n"/>
      <c r="L88" s="17">
        <f>IF(OR(C88="Epic",J88=""),"",MAX(0,J88-N(K88)))</f>
        <v/>
      </c>
      <c r="M88" s="18" t="n"/>
      <c r="N88" s="19">
        <f>IF(OR(L88="",M88=""),"",L88*M88)</f>
        <v/>
      </c>
      <c r="O88" s="15" t="n"/>
      <c r="P88" s="16" t="n"/>
      <c r="Q88" s="20" t="n"/>
      <c r="R88" s="21">
        <f>IF(OR(B88="",C88="Epic"),"",IF(Q88="",Settings!$B$3,Q88))</f>
        <v/>
      </c>
      <c r="S88" s="21">
        <f>IF(OR(R88="",P88="",N(L88)=0),"",R88-P88-Settings!$B$4)</f>
        <v/>
      </c>
      <c r="T88" s="17">
        <f>IF(S88="","",S88-TODAY())</f>
        <v/>
      </c>
      <c r="U88" s="14">
        <f>IF(OR(B88="",C88="Epic"),"",IF(N(L88)=0,IF(J88="","","ON HAND"),IF(OR(O88="Ordered",O88="Shipped",O88="Received"),O88,IF(S88="","NEED LEAD TIME",IF(T88&lt;0,"OVERDUE",IF(T88&lt;=Settings!$B$5,"ORDER SOON","OK"))))))</f>
        <v/>
      </c>
      <c r="V88" s="15" t="n"/>
    </row>
    <row r="89">
      <c r="A89" s="14">
        <f>IF(B89="","",IF(C89="Epic",IFERROR(INDEX(Lists!$A:$A,MATCH(B89,Lists!$B:$B,0)),"?"),1000+ROW()))</f>
        <v/>
      </c>
      <c r="B89" s="15" t="n"/>
      <c r="C89" s="15" t="n"/>
      <c r="D89" s="15" t="n"/>
      <c r="E89" s="14">
        <f>IF(OR(C89="Epic",D89=""),"",IFERROR(INDEX(Lists!$A:$A,MATCH(D89,Lists!$B:$B,0)),""))</f>
        <v/>
      </c>
      <c r="F89" s="15" t="n"/>
      <c r="G89" s="15" t="n"/>
      <c r="H89" s="15" t="n"/>
      <c r="I89" s="15" t="n"/>
      <c r="J89" s="16" t="n"/>
      <c r="K89" s="16" t="n"/>
      <c r="L89" s="17">
        <f>IF(OR(C89="Epic",J89=""),"",MAX(0,J89-N(K89)))</f>
        <v/>
      </c>
      <c r="M89" s="18" t="n"/>
      <c r="N89" s="19">
        <f>IF(OR(L89="",M89=""),"",L89*M89)</f>
        <v/>
      </c>
      <c r="O89" s="15" t="n"/>
      <c r="P89" s="16" t="n"/>
      <c r="Q89" s="20" t="n"/>
      <c r="R89" s="21">
        <f>IF(OR(B89="",C89="Epic"),"",IF(Q89="",Settings!$B$3,Q89))</f>
        <v/>
      </c>
      <c r="S89" s="21">
        <f>IF(OR(R89="",P89="",N(L89)=0),"",R89-P89-Settings!$B$4)</f>
        <v/>
      </c>
      <c r="T89" s="17">
        <f>IF(S89="","",S89-TODAY())</f>
        <v/>
      </c>
      <c r="U89" s="14">
        <f>IF(OR(B89="",C89="Epic"),"",IF(N(L89)=0,IF(J89="","","ON HAND"),IF(OR(O89="Ordered",O89="Shipped",O89="Received"),O89,IF(S89="","NEED LEAD TIME",IF(T89&lt;0,"OVERDUE",IF(T89&lt;=Settings!$B$5,"ORDER SOON","OK"))))))</f>
        <v/>
      </c>
      <c r="V89" s="15" t="n"/>
    </row>
    <row r="90">
      <c r="A90" s="14">
        <f>IF(B90="","",IF(C90="Epic",IFERROR(INDEX(Lists!$A:$A,MATCH(B90,Lists!$B:$B,0)),"?"),1000+ROW()))</f>
        <v/>
      </c>
      <c r="B90" s="15" t="n"/>
      <c r="C90" s="15" t="n"/>
      <c r="D90" s="15" t="n"/>
      <c r="E90" s="14">
        <f>IF(OR(C90="Epic",D90=""),"",IFERROR(INDEX(Lists!$A:$A,MATCH(D90,Lists!$B:$B,0)),""))</f>
        <v/>
      </c>
      <c r="F90" s="15" t="n"/>
      <c r="G90" s="15" t="n"/>
      <c r="H90" s="15" t="n"/>
      <c r="I90" s="15" t="n"/>
      <c r="J90" s="16" t="n"/>
      <c r="K90" s="16" t="n"/>
      <c r="L90" s="17">
        <f>IF(OR(C90="Epic",J90=""),"",MAX(0,J90-N(K90)))</f>
        <v/>
      </c>
      <c r="M90" s="18" t="n"/>
      <c r="N90" s="19">
        <f>IF(OR(L90="",M90=""),"",L90*M90)</f>
        <v/>
      </c>
      <c r="O90" s="15" t="n"/>
      <c r="P90" s="16" t="n"/>
      <c r="Q90" s="20" t="n"/>
      <c r="R90" s="21">
        <f>IF(OR(B90="",C90="Epic"),"",IF(Q90="",Settings!$B$3,Q90))</f>
        <v/>
      </c>
      <c r="S90" s="21">
        <f>IF(OR(R90="",P90="",N(L90)=0),"",R90-P90-Settings!$B$4)</f>
        <v/>
      </c>
      <c r="T90" s="17">
        <f>IF(S90="","",S90-TODAY())</f>
        <v/>
      </c>
      <c r="U90" s="14">
        <f>IF(OR(B90="",C90="Epic"),"",IF(N(L90)=0,IF(J90="","","ON HAND"),IF(OR(O90="Ordered",O90="Shipped",O90="Received"),O90,IF(S90="","NEED LEAD TIME",IF(T90&lt;0,"OVERDUE",IF(T90&lt;=Settings!$B$5,"ORDER SOON","OK"))))))</f>
        <v/>
      </c>
      <c r="V90" s="15" t="n"/>
    </row>
    <row r="91">
      <c r="A91" s="14">
        <f>IF(B91="","",IF(C91="Epic",IFERROR(INDEX(Lists!$A:$A,MATCH(B91,Lists!$B:$B,0)),"?"),1000+ROW()))</f>
        <v/>
      </c>
      <c r="B91" s="15" t="n"/>
      <c r="C91" s="15" t="n"/>
      <c r="D91" s="15" t="n"/>
      <c r="E91" s="14">
        <f>IF(OR(C91="Epic",D91=""),"",IFERROR(INDEX(Lists!$A:$A,MATCH(D91,Lists!$B:$B,0)),""))</f>
        <v/>
      </c>
      <c r="F91" s="15" t="n"/>
      <c r="G91" s="15" t="n"/>
      <c r="H91" s="15" t="n"/>
      <c r="I91" s="15" t="n"/>
      <c r="J91" s="16" t="n"/>
      <c r="K91" s="16" t="n"/>
      <c r="L91" s="17">
        <f>IF(OR(C91="Epic",J91=""),"",MAX(0,J91-N(K91)))</f>
        <v/>
      </c>
      <c r="M91" s="18" t="n"/>
      <c r="N91" s="19">
        <f>IF(OR(L91="",M91=""),"",L91*M91)</f>
        <v/>
      </c>
      <c r="O91" s="15" t="n"/>
      <c r="P91" s="16" t="n"/>
      <c r="Q91" s="20" t="n"/>
      <c r="R91" s="21">
        <f>IF(OR(B91="",C91="Epic"),"",IF(Q91="",Settings!$B$3,Q91))</f>
        <v/>
      </c>
      <c r="S91" s="21">
        <f>IF(OR(R91="",P91="",N(L91)=0),"",R91-P91-Settings!$B$4)</f>
        <v/>
      </c>
      <c r="T91" s="17">
        <f>IF(S91="","",S91-TODAY())</f>
        <v/>
      </c>
      <c r="U91" s="14">
        <f>IF(OR(B91="",C91="Epic"),"",IF(N(L91)=0,IF(J91="","","ON HAND"),IF(OR(O91="Ordered",O91="Shipped",O91="Received"),O91,IF(S91="","NEED LEAD TIME",IF(T91&lt;0,"OVERDUE",IF(T91&lt;=Settings!$B$5,"ORDER SOON","OK"))))))</f>
        <v/>
      </c>
      <c r="V91" s="15" t="n"/>
    </row>
    <row r="92">
      <c r="A92" s="14">
        <f>IF(B92="","",IF(C92="Epic",IFERROR(INDEX(Lists!$A:$A,MATCH(B92,Lists!$B:$B,0)),"?"),1000+ROW()))</f>
        <v/>
      </c>
      <c r="B92" s="15" t="n"/>
      <c r="C92" s="15" t="n"/>
      <c r="D92" s="15" t="n"/>
      <c r="E92" s="14">
        <f>IF(OR(C92="Epic",D92=""),"",IFERROR(INDEX(Lists!$A:$A,MATCH(D92,Lists!$B:$B,0)),""))</f>
        <v/>
      </c>
      <c r="F92" s="15" t="n"/>
      <c r="G92" s="15" t="n"/>
      <c r="H92" s="15" t="n"/>
      <c r="I92" s="15" t="n"/>
      <c r="J92" s="16" t="n"/>
      <c r="K92" s="16" t="n"/>
      <c r="L92" s="17">
        <f>IF(OR(C92="Epic",J92=""),"",MAX(0,J92-N(K92)))</f>
        <v/>
      </c>
      <c r="M92" s="18" t="n"/>
      <c r="N92" s="19">
        <f>IF(OR(L92="",M92=""),"",L92*M92)</f>
        <v/>
      </c>
      <c r="O92" s="15" t="n"/>
      <c r="P92" s="16" t="n"/>
      <c r="Q92" s="20" t="n"/>
      <c r="R92" s="21">
        <f>IF(OR(B92="",C92="Epic"),"",IF(Q92="",Settings!$B$3,Q92))</f>
        <v/>
      </c>
      <c r="S92" s="21">
        <f>IF(OR(R92="",P92="",N(L92)=0),"",R92-P92-Settings!$B$4)</f>
        <v/>
      </c>
      <c r="T92" s="17">
        <f>IF(S92="","",S92-TODAY())</f>
        <v/>
      </c>
      <c r="U92" s="14">
        <f>IF(OR(B92="",C92="Epic"),"",IF(N(L92)=0,IF(J92="","","ON HAND"),IF(OR(O92="Ordered",O92="Shipped",O92="Received"),O92,IF(S92="","NEED LEAD TIME",IF(T92&lt;0,"OVERDUE",IF(T92&lt;=Settings!$B$5,"ORDER SOON","OK"))))))</f>
        <v/>
      </c>
      <c r="V92" s="15" t="n"/>
    </row>
    <row r="93">
      <c r="A93" s="14">
        <f>IF(B93="","",IF(C93="Epic",IFERROR(INDEX(Lists!$A:$A,MATCH(B93,Lists!$B:$B,0)),"?"),1000+ROW()))</f>
        <v/>
      </c>
      <c r="B93" s="15" t="n"/>
      <c r="C93" s="15" t="n"/>
      <c r="D93" s="15" t="n"/>
      <c r="E93" s="14">
        <f>IF(OR(C93="Epic",D93=""),"",IFERROR(INDEX(Lists!$A:$A,MATCH(D93,Lists!$B:$B,0)),""))</f>
        <v/>
      </c>
      <c r="F93" s="15" t="n"/>
      <c r="G93" s="15" t="n"/>
      <c r="H93" s="15" t="n"/>
      <c r="I93" s="15" t="n"/>
      <c r="J93" s="16" t="n"/>
      <c r="K93" s="16" t="n"/>
      <c r="L93" s="17">
        <f>IF(OR(C93="Epic",J93=""),"",MAX(0,J93-N(K93)))</f>
        <v/>
      </c>
      <c r="M93" s="18" t="n"/>
      <c r="N93" s="19">
        <f>IF(OR(L93="",M93=""),"",L93*M93)</f>
        <v/>
      </c>
      <c r="O93" s="15" t="n"/>
      <c r="P93" s="16" t="n"/>
      <c r="Q93" s="20" t="n"/>
      <c r="R93" s="21">
        <f>IF(OR(B93="",C93="Epic"),"",IF(Q93="",Settings!$B$3,Q93))</f>
        <v/>
      </c>
      <c r="S93" s="21">
        <f>IF(OR(R93="",P93="",N(L93)=0),"",R93-P93-Settings!$B$4)</f>
        <v/>
      </c>
      <c r="T93" s="17">
        <f>IF(S93="","",S93-TODAY())</f>
        <v/>
      </c>
      <c r="U93" s="14">
        <f>IF(OR(B93="",C93="Epic"),"",IF(N(L93)=0,IF(J93="","","ON HAND"),IF(OR(O93="Ordered",O93="Shipped",O93="Received"),O93,IF(S93="","NEED LEAD TIME",IF(T93&lt;0,"OVERDUE",IF(T93&lt;=Settings!$B$5,"ORDER SOON","OK"))))))</f>
        <v/>
      </c>
      <c r="V93" s="15" t="n"/>
    </row>
    <row r="94">
      <c r="A94" s="14">
        <f>IF(B94="","",IF(C94="Epic",IFERROR(INDEX(Lists!$A:$A,MATCH(B94,Lists!$B:$B,0)),"?"),1000+ROW()))</f>
        <v/>
      </c>
      <c r="B94" s="15" t="n"/>
      <c r="C94" s="15" t="n"/>
      <c r="D94" s="15" t="n"/>
      <c r="E94" s="14">
        <f>IF(OR(C94="Epic",D94=""),"",IFERROR(INDEX(Lists!$A:$A,MATCH(D94,Lists!$B:$B,0)),""))</f>
        <v/>
      </c>
      <c r="F94" s="15" t="n"/>
      <c r="G94" s="15" t="n"/>
      <c r="H94" s="15" t="n"/>
      <c r="I94" s="15" t="n"/>
      <c r="J94" s="16" t="n"/>
      <c r="K94" s="16" t="n"/>
      <c r="L94" s="17">
        <f>IF(OR(C94="Epic",J94=""),"",MAX(0,J94-N(K94)))</f>
        <v/>
      </c>
      <c r="M94" s="18" t="n"/>
      <c r="N94" s="19">
        <f>IF(OR(L94="",M94=""),"",L94*M94)</f>
        <v/>
      </c>
      <c r="O94" s="15" t="n"/>
      <c r="P94" s="16" t="n"/>
      <c r="Q94" s="20" t="n"/>
      <c r="R94" s="21">
        <f>IF(OR(B94="",C94="Epic"),"",IF(Q94="",Settings!$B$3,Q94))</f>
        <v/>
      </c>
      <c r="S94" s="21">
        <f>IF(OR(R94="",P94="",N(L94)=0),"",R94-P94-Settings!$B$4)</f>
        <v/>
      </c>
      <c r="T94" s="17">
        <f>IF(S94="","",S94-TODAY())</f>
        <v/>
      </c>
      <c r="U94" s="14">
        <f>IF(OR(B94="",C94="Epic"),"",IF(N(L94)=0,IF(J94="","","ON HAND"),IF(OR(O94="Ordered",O94="Shipped",O94="Received"),O94,IF(S94="","NEED LEAD TIME",IF(T94&lt;0,"OVERDUE",IF(T94&lt;=Settings!$B$5,"ORDER SOON","OK"))))))</f>
        <v/>
      </c>
      <c r="V94" s="15" t="n"/>
    </row>
    <row r="95">
      <c r="A95" s="14">
        <f>IF(B95="","",IF(C95="Epic",IFERROR(INDEX(Lists!$A:$A,MATCH(B95,Lists!$B:$B,0)),"?"),1000+ROW()))</f>
        <v/>
      </c>
      <c r="B95" s="15" t="n"/>
      <c r="C95" s="15" t="n"/>
      <c r="D95" s="15" t="n"/>
      <c r="E95" s="14">
        <f>IF(OR(C95="Epic",D95=""),"",IFERROR(INDEX(Lists!$A:$A,MATCH(D95,Lists!$B:$B,0)),""))</f>
        <v/>
      </c>
      <c r="F95" s="15" t="n"/>
      <c r="G95" s="15" t="n"/>
      <c r="H95" s="15" t="n"/>
      <c r="I95" s="15" t="n"/>
      <c r="J95" s="16" t="n"/>
      <c r="K95" s="16" t="n"/>
      <c r="L95" s="17">
        <f>IF(OR(C95="Epic",J95=""),"",MAX(0,J95-N(K95)))</f>
        <v/>
      </c>
      <c r="M95" s="18" t="n"/>
      <c r="N95" s="19">
        <f>IF(OR(L95="",M95=""),"",L95*M95)</f>
        <v/>
      </c>
      <c r="O95" s="15" t="n"/>
      <c r="P95" s="16" t="n"/>
      <c r="Q95" s="20" t="n"/>
      <c r="R95" s="21">
        <f>IF(OR(B95="",C95="Epic"),"",IF(Q95="",Settings!$B$3,Q95))</f>
        <v/>
      </c>
      <c r="S95" s="21">
        <f>IF(OR(R95="",P95="",N(L95)=0),"",R95-P95-Settings!$B$4)</f>
        <v/>
      </c>
      <c r="T95" s="17">
        <f>IF(S95="","",S95-TODAY())</f>
        <v/>
      </c>
      <c r="U95" s="14">
        <f>IF(OR(B95="",C95="Epic"),"",IF(N(L95)=0,IF(J95="","","ON HAND"),IF(OR(O95="Ordered",O95="Shipped",O95="Received"),O95,IF(S95="","NEED LEAD TIME",IF(T95&lt;0,"OVERDUE",IF(T95&lt;=Settings!$B$5,"ORDER SOON","OK"))))))</f>
        <v/>
      </c>
      <c r="V95" s="15" t="n"/>
    </row>
    <row r="96">
      <c r="A96" s="14">
        <f>IF(B96="","",IF(C96="Epic",IFERROR(INDEX(Lists!$A:$A,MATCH(B96,Lists!$B:$B,0)),"?"),1000+ROW()))</f>
        <v/>
      </c>
      <c r="B96" s="15" t="n"/>
      <c r="C96" s="15" t="n"/>
      <c r="D96" s="15" t="n"/>
      <c r="E96" s="14">
        <f>IF(OR(C96="Epic",D96=""),"",IFERROR(INDEX(Lists!$A:$A,MATCH(D96,Lists!$B:$B,0)),""))</f>
        <v/>
      </c>
      <c r="F96" s="15" t="n"/>
      <c r="G96" s="15" t="n"/>
      <c r="H96" s="15" t="n"/>
      <c r="I96" s="15" t="n"/>
      <c r="J96" s="16" t="n"/>
      <c r="K96" s="16" t="n"/>
      <c r="L96" s="17">
        <f>IF(OR(C96="Epic",J96=""),"",MAX(0,J96-N(K96)))</f>
        <v/>
      </c>
      <c r="M96" s="18" t="n"/>
      <c r="N96" s="19">
        <f>IF(OR(L96="",M96=""),"",L96*M96)</f>
        <v/>
      </c>
      <c r="O96" s="15" t="n"/>
      <c r="P96" s="16" t="n"/>
      <c r="Q96" s="20" t="n"/>
      <c r="R96" s="21">
        <f>IF(OR(B96="",C96="Epic"),"",IF(Q96="",Settings!$B$3,Q96))</f>
        <v/>
      </c>
      <c r="S96" s="21">
        <f>IF(OR(R96="",P96="",N(L96)=0),"",R96-P96-Settings!$B$4)</f>
        <v/>
      </c>
      <c r="T96" s="17">
        <f>IF(S96="","",S96-TODAY())</f>
        <v/>
      </c>
      <c r="U96" s="14">
        <f>IF(OR(B96="",C96="Epic"),"",IF(N(L96)=0,IF(J96="","","ON HAND"),IF(OR(O96="Ordered",O96="Shipped",O96="Received"),O96,IF(S96="","NEED LEAD TIME",IF(T96&lt;0,"OVERDUE",IF(T96&lt;=Settings!$B$5,"ORDER SOON","OK"))))))</f>
        <v/>
      </c>
      <c r="V96" s="15" t="n"/>
    </row>
    <row r="97">
      <c r="A97" s="14">
        <f>IF(B97="","",IF(C97="Epic",IFERROR(INDEX(Lists!$A:$A,MATCH(B97,Lists!$B:$B,0)),"?"),1000+ROW()))</f>
        <v/>
      </c>
      <c r="B97" s="15" t="n"/>
      <c r="C97" s="15" t="n"/>
      <c r="D97" s="15" t="n"/>
      <c r="E97" s="14">
        <f>IF(OR(C97="Epic",D97=""),"",IFERROR(INDEX(Lists!$A:$A,MATCH(D97,Lists!$B:$B,0)),""))</f>
        <v/>
      </c>
      <c r="F97" s="15" t="n"/>
      <c r="G97" s="15" t="n"/>
      <c r="H97" s="15" t="n"/>
      <c r="I97" s="15" t="n"/>
      <c r="J97" s="16" t="n"/>
      <c r="K97" s="16" t="n"/>
      <c r="L97" s="17">
        <f>IF(OR(C97="Epic",J97=""),"",MAX(0,J97-N(K97)))</f>
        <v/>
      </c>
      <c r="M97" s="18" t="n"/>
      <c r="N97" s="19">
        <f>IF(OR(L97="",M97=""),"",L97*M97)</f>
        <v/>
      </c>
      <c r="O97" s="15" t="n"/>
      <c r="P97" s="16" t="n"/>
      <c r="Q97" s="20" t="n"/>
      <c r="R97" s="21">
        <f>IF(OR(B97="",C97="Epic"),"",IF(Q97="",Settings!$B$3,Q97))</f>
        <v/>
      </c>
      <c r="S97" s="21">
        <f>IF(OR(R97="",P97="",N(L97)=0),"",R97-P97-Settings!$B$4)</f>
        <v/>
      </c>
      <c r="T97" s="17">
        <f>IF(S97="","",S97-TODAY())</f>
        <v/>
      </c>
      <c r="U97" s="14">
        <f>IF(OR(B97="",C97="Epic"),"",IF(N(L97)=0,IF(J97="","","ON HAND"),IF(OR(O97="Ordered",O97="Shipped",O97="Received"),O97,IF(S97="","NEED LEAD TIME",IF(T97&lt;0,"OVERDUE",IF(T97&lt;=Settings!$B$5,"ORDER SOON","OK"))))))</f>
        <v/>
      </c>
      <c r="V97" s="15" t="n"/>
    </row>
    <row r="98">
      <c r="A98" s="14">
        <f>IF(B98="","",IF(C98="Epic",IFERROR(INDEX(Lists!$A:$A,MATCH(B98,Lists!$B:$B,0)),"?"),1000+ROW()))</f>
        <v/>
      </c>
      <c r="B98" s="15" t="n"/>
      <c r="C98" s="15" t="n"/>
      <c r="D98" s="15" t="n"/>
      <c r="E98" s="14">
        <f>IF(OR(C98="Epic",D98=""),"",IFERROR(INDEX(Lists!$A:$A,MATCH(D98,Lists!$B:$B,0)),""))</f>
        <v/>
      </c>
      <c r="F98" s="15" t="n"/>
      <c r="G98" s="15" t="n"/>
      <c r="H98" s="15" t="n"/>
      <c r="I98" s="15" t="n"/>
      <c r="J98" s="16" t="n"/>
      <c r="K98" s="16" t="n"/>
      <c r="L98" s="17">
        <f>IF(OR(C98="Epic",J98=""),"",MAX(0,J98-N(K98)))</f>
        <v/>
      </c>
      <c r="M98" s="18" t="n"/>
      <c r="N98" s="19">
        <f>IF(OR(L98="",M98=""),"",L98*M98)</f>
        <v/>
      </c>
      <c r="O98" s="15" t="n"/>
      <c r="P98" s="16" t="n"/>
      <c r="Q98" s="20" t="n"/>
      <c r="R98" s="21">
        <f>IF(OR(B98="",C98="Epic"),"",IF(Q98="",Settings!$B$3,Q98))</f>
        <v/>
      </c>
      <c r="S98" s="21">
        <f>IF(OR(R98="",P98="",N(L98)=0),"",R98-P98-Settings!$B$4)</f>
        <v/>
      </c>
      <c r="T98" s="17">
        <f>IF(S98="","",S98-TODAY())</f>
        <v/>
      </c>
      <c r="U98" s="14">
        <f>IF(OR(B98="",C98="Epic"),"",IF(N(L98)=0,IF(J98="","","ON HAND"),IF(OR(O98="Ordered",O98="Shipped",O98="Received"),O98,IF(S98="","NEED LEAD TIME",IF(T98&lt;0,"OVERDUE",IF(T98&lt;=Settings!$B$5,"ORDER SOON","OK"))))))</f>
        <v/>
      </c>
      <c r="V98" s="15" t="n"/>
    </row>
    <row r="99">
      <c r="A99" s="14">
        <f>IF(B99="","",IF(C99="Epic",IFERROR(INDEX(Lists!$A:$A,MATCH(B99,Lists!$B:$B,0)),"?"),1000+ROW()))</f>
        <v/>
      </c>
      <c r="B99" s="15" t="n"/>
      <c r="C99" s="15" t="n"/>
      <c r="D99" s="15" t="n"/>
      <c r="E99" s="14">
        <f>IF(OR(C99="Epic",D99=""),"",IFERROR(INDEX(Lists!$A:$A,MATCH(D99,Lists!$B:$B,0)),""))</f>
        <v/>
      </c>
      <c r="F99" s="15" t="n"/>
      <c r="G99" s="15" t="n"/>
      <c r="H99" s="15" t="n"/>
      <c r="I99" s="15" t="n"/>
      <c r="J99" s="16" t="n"/>
      <c r="K99" s="16" t="n"/>
      <c r="L99" s="17">
        <f>IF(OR(C99="Epic",J99=""),"",MAX(0,J99-N(K99)))</f>
        <v/>
      </c>
      <c r="M99" s="18" t="n"/>
      <c r="N99" s="19">
        <f>IF(OR(L99="",M99=""),"",L99*M99)</f>
        <v/>
      </c>
      <c r="O99" s="15" t="n"/>
      <c r="P99" s="16" t="n"/>
      <c r="Q99" s="20" t="n"/>
      <c r="R99" s="21">
        <f>IF(OR(B99="",C99="Epic"),"",IF(Q99="",Settings!$B$3,Q99))</f>
        <v/>
      </c>
      <c r="S99" s="21">
        <f>IF(OR(R99="",P99="",N(L99)=0),"",R99-P99-Settings!$B$4)</f>
        <v/>
      </c>
      <c r="T99" s="17">
        <f>IF(S99="","",S99-TODAY())</f>
        <v/>
      </c>
      <c r="U99" s="14">
        <f>IF(OR(B99="",C99="Epic"),"",IF(N(L99)=0,IF(J99="","","ON HAND"),IF(OR(O99="Ordered",O99="Shipped",O99="Received"),O99,IF(S99="","NEED LEAD TIME",IF(T99&lt;0,"OVERDUE",IF(T99&lt;=Settings!$B$5,"ORDER SOON","OK"))))))</f>
        <v/>
      </c>
      <c r="V99" s="15" t="n"/>
    </row>
    <row r="100">
      <c r="A100" s="14">
        <f>IF(B100="","",IF(C100="Epic",IFERROR(INDEX(Lists!$A:$A,MATCH(B100,Lists!$B:$B,0)),"?"),1000+ROW()))</f>
        <v/>
      </c>
      <c r="B100" s="15" t="n"/>
      <c r="C100" s="15" t="n"/>
      <c r="D100" s="15" t="n"/>
      <c r="E100" s="14">
        <f>IF(OR(C100="Epic",D100=""),"",IFERROR(INDEX(Lists!$A:$A,MATCH(D100,Lists!$B:$B,0)),""))</f>
        <v/>
      </c>
      <c r="F100" s="15" t="n"/>
      <c r="G100" s="15" t="n"/>
      <c r="H100" s="15" t="n"/>
      <c r="I100" s="15" t="n"/>
      <c r="J100" s="16" t="n"/>
      <c r="K100" s="16" t="n"/>
      <c r="L100" s="17">
        <f>IF(OR(C100="Epic",J100=""),"",MAX(0,J100-N(K100)))</f>
        <v/>
      </c>
      <c r="M100" s="18" t="n"/>
      <c r="N100" s="19">
        <f>IF(OR(L100="",M100=""),"",L100*M100)</f>
        <v/>
      </c>
      <c r="O100" s="15" t="n"/>
      <c r="P100" s="16" t="n"/>
      <c r="Q100" s="20" t="n"/>
      <c r="R100" s="21">
        <f>IF(OR(B100="",C100="Epic"),"",IF(Q100="",Settings!$B$3,Q100))</f>
        <v/>
      </c>
      <c r="S100" s="21">
        <f>IF(OR(R100="",P100="",N(L100)=0),"",R100-P100-Settings!$B$4)</f>
        <v/>
      </c>
      <c r="T100" s="17">
        <f>IF(S100="","",S100-TODAY())</f>
        <v/>
      </c>
      <c r="U100" s="14">
        <f>IF(OR(B100="",C100="Epic"),"",IF(N(L100)=0,IF(J100="","","ON HAND"),IF(OR(O100="Ordered",O100="Shipped",O100="Received"),O100,IF(S100="","NEED LEAD TIME",IF(T100&lt;0,"OVERDUE",IF(T100&lt;=Settings!$B$5,"ORDER SOON","OK"))))))</f>
        <v/>
      </c>
      <c r="V100" s="15" t="n"/>
    </row>
    <row r="101">
      <c r="A101" s="14">
        <f>IF(B101="","",IF(C101="Epic",IFERROR(INDEX(Lists!$A:$A,MATCH(B101,Lists!$B:$B,0)),"?"),1000+ROW()))</f>
        <v/>
      </c>
      <c r="B101" s="15" t="n"/>
      <c r="C101" s="15" t="n"/>
      <c r="D101" s="15" t="n"/>
      <c r="E101" s="14">
        <f>IF(OR(C101="Epic",D101=""),"",IFERROR(INDEX(Lists!$A:$A,MATCH(D101,Lists!$B:$B,0)),""))</f>
        <v/>
      </c>
      <c r="F101" s="15" t="n"/>
      <c r="G101" s="15" t="n"/>
      <c r="H101" s="15" t="n"/>
      <c r="I101" s="15" t="n"/>
      <c r="J101" s="16" t="n"/>
      <c r="K101" s="16" t="n"/>
      <c r="L101" s="17">
        <f>IF(OR(C101="Epic",J101=""),"",MAX(0,J101-N(K101)))</f>
        <v/>
      </c>
      <c r="M101" s="18" t="n"/>
      <c r="N101" s="19">
        <f>IF(OR(L101="",M101=""),"",L101*M101)</f>
        <v/>
      </c>
      <c r="O101" s="15" t="n"/>
      <c r="P101" s="16" t="n"/>
      <c r="Q101" s="20" t="n"/>
      <c r="R101" s="21">
        <f>IF(OR(B101="",C101="Epic"),"",IF(Q101="",Settings!$B$3,Q101))</f>
        <v/>
      </c>
      <c r="S101" s="21">
        <f>IF(OR(R101="",P101="",N(L101)=0),"",R101-P101-Settings!$B$4)</f>
        <v/>
      </c>
      <c r="T101" s="17">
        <f>IF(S101="","",S101-TODAY())</f>
        <v/>
      </c>
      <c r="U101" s="14">
        <f>IF(OR(B101="",C101="Epic"),"",IF(N(L101)=0,IF(J101="","","ON HAND"),IF(OR(O101="Ordered",O101="Shipped",O101="Received"),O101,IF(S101="","NEED LEAD TIME",IF(T101&lt;0,"OVERDUE",IF(T101&lt;=Settings!$B$5,"ORDER SOON","OK"))))))</f>
        <v/>
      </c>
      <c r="V101" s="15" t="n"/>
    </row>
    <row r="102">
      <c r="A102" s="14">
        <f>IF(B102="","",IF(C102="Epic",IFERROR(INDEX(Lists!$A:$A,MATCH(B102,Lists!$B:$B,0)),"?"),1000+ROW()))</f>
        <v/>
      </c>
      <c r="B102" s="15" t="n"/>
      <c r="C102" s="15" t="n"/>
      <c r="D102" s="15" t="n"/>
      <c r="E102" s="14">
        <f>IF(OR(C102="Epic",D102=""),"",IFERROR(INDEX(Lists!$A:$A,MATCH(D102,Lists!$B:$B,0)),""))</f>
        <v/>
      </c>
      <c r="F102" s="15" t="n"/>
      <c r="G102" s="15" t="n"/>
      <c r="H102" s="15" t="n"/>
      <c r="I102" s="15" t="n"/>
      <c r="J102" s="16" t="n"/>
      <c r="K102" s="16" t="n"/>
      <c r="L102" s="17">
        <f>IF(OR(C102="Epic",J102=""),"",MAX(0,J102-N(K102)))</f>
        <v/>
      </c>
      <c r="M102" s="18" t="n"/>
      <c r="N102" s="19">
        <f>IF(OR(L102="",M102=""),"",L102*M102)</f>
        <v/>
      </c>
      <c r="O102" s="15" t="n"/>
      <c r="P102" s="16" t="n"/>
      <c r="Q102" s="20" t="n"/>
      <c r="R102" s="21">
        <f>IF(OR(B102="",C102="Epic"),"",IF(Q102="",Settings!$B$3,Q102))</f>
        <v/>
      </c>
      <c r="S102" s="21">
        <f>IF(OR(R102="",P102="",N(L102)=0),"",R102-P102-Settings!$B$4)</f>
        <v/>
      </c>
      <c r="T102" s="17">
        <f>IF(S102="","",S102-TODAY())</f>
        <v/>
      </c>
      <c r="U102" s="14">
        <f>IF(OR(B102="",C102="Epic"),"",IF(N(L102)=0,IF(J102="","","ON HAND"),IF(OR(O102="Ordered",O102="Shipped",O102="Received"),O102,IF(S102="","NEED LEAD TIME",IF(T102&lt;0,"OVERDUE",IF(T102&lt;=Settings!$B$5,"ORDER SOON","OK"))))))</f>
        <v/>
      </c>
      <c r="V102" s="15" t="n"/>
    </row>
    <row r="103">
      <c r="A103" s="14">
        <f>IF(B103="","",IF(C103="Epic",IFERROR(INDEX(Lists!$A:$A,MATCH(B103,Lists!$B:$B,0)),"?"),1000+ROW()))</f>
        <v/>
      </c>
      <c r="B103" s="15" t="n"/>
      <c r="C103" s="15" t="n"/>
      <c r="D103" s="15" t="n"/>
      <c r="E103" s="14">
        <f>IF(OR(C103="Epic",D103=""),"",IFERROR(INDEX(Lists!$A:$A,MATCH(D103,Lists!$B:$B,0)),""))</f>
        <v/>
      </c>
      <c r="F103" s="15" t="n"/>
      <c r="G103" s="15" t="n"/>
      <c r="H103" s="15" t="n"/>
      <c r="I103" s="15" t="n"/>
      <c r="J103" s="16" t="n"/>
      <c r="K103" s="16" t="n"/>
      <c r="L103" s="17">
        <f>IF(OR(C103="Epic",J103=""),"",MAX(0,J103-N(K103)))</f>
        <v/>
      </c>
      <c r="M103" s="18" t="n"/>
      <c r="N103" s="19">
        <f>IF(OR(L103="",M103=""),"",L103*M103)</f>
        <v/>
      </c>
      <c r="O103" s="15" t="n"/>
      <c r="P103" s="16" t="n"/>
      <c r="Q103" s="20" t="n"/>
      <c r="R103" s="21">
        <f>IF(OR(B103="",C103="Epic"),"",IF(Q103="",Settings!$B$3,Q103))</f>
        <v/>
      </c>
      <c r="S103" s="21">
        <f>IF(OR(R103="",P103="",N(L103)=0),"",R103-P103-Settings!$B$4)</f>
        <v/>
      </c>
      <c r="T103" s="17">
        <f>IF(S103="","",S103-TODAY())</f>
        <v/>
      </c>
      <c r="U103" s="14">
        <f>IF(OR(B103="",C103="Epic"),"",IF(N(L103)=0,IF(J103="","","ON HAND"),IF(OR(O103="Ordered",O103="Shipped",O103="Received"),O103,IF(S103="","NEED LEAD TIME",IF(T103&lt;0,"OVERDUE",IF(T103&lt;=Settings!$B$5,"ORDER SOON","OK"))))))</f>
        <v/>
      </c>
      <c r="V103" s="15" t="n"/>
    </row>
    <row r="104">
      <c r="A104" s="14">
        <f>IF(B104="","",IF(C104="Epic",IFERROR(INDEX(Lists!$A:$A,MATCH(B104,Lists!$B:$B,0)),"?"),1000+ROW()))</f>
        <v/>
      </c>
      <c r="B104" s="15" t="n"/>
      <c r="C104" s="15" t="n"/>
      <c r="D104" s="15" t="n"/>
      <c r="E104" s="14">
        <f>IF(OR(C104="Epic",D104=""),"",IFERROR(INDEX(Lists!$A:$A,MATCH(D104,Lists!$B:$B,0)),""))</f>
        <v/>
      </c>
      <c r="F104" s="15" t="n"/>
      <c r="G104" s="15" t="n"/>
      <c r="H104" s="15" t="n"/>
      <c r="I104" s="15" t="n"/>
      <c r="J104" s="16" t="n"/>
      <c r="K104" s="16" t="n"/>
      <c r="L104" s="17">
        <f>IF(OR(C104="Epic",J104=""),"",MAX(0,J104-N(K104)))</f>
        <v/>
      </c>
      <c r="M104" s="18" t="n"/>
      <c r="N104" s="19">
        <f>IF(OR(L104="",M104=""),"",L104*M104)</f>
        <v/>
      </c>
      <c r="O104" s="15" t="n"/>
      <c r="P104" s="16" t="n"/>
      <c r="Q104" s="20" t="n"/>
      <c r="R104" s="21">
        <f>IF(OR(B104="",C104="Epic"),"",IF(Q104="",Settings!$B$3,Q104))</f>
        <v/>
      </c>
      <c r="S104" s="21">
        <f>IF(OR(R104="",P104="",N(L104)=0),"",R104-P104-Settings!$B$4)</f>
        <v/>
      </c>
      <c r="T104" s="17">
        <f>IF(S104="","",S104-TODAY())</f>
        <v/>
      </c>
      <c r="U104" s="14">
        <f>IF(OR(B104="",C104="Epic"),"",IF(N(L104)=0,IF(J104="","","ON HAND"),IF(OR(O104="Ordered",O104="Shipped",O104="Received"),O104,IF(S104="","NEED LEAD TIME",IF(T104&lt;0,"OVERDUE",IF(T104&lt;=Settings!$B$5,"ORDER SOON","OK"))))))</f>
        <v/>
      </c>
      <c r="V104" s="15" t="n"/>
    </row>
    <row r="105">
      <c r="A105" s="14">
        <f>IF(B105="","",IF(C105="Epic",IFERROR(INDEX(Lists!$A:$A,MATCH(B105,Lists!$B:$B,0)),"?"),1000+ROW()))</f>
        <v/>
      </c>
      <c r="B105" s="15" t="n"/>
      <c r="C105" s="15" t="n"/>
      <c r="D105" s="15" t="n"/>
      <c r="E105" s="14">
        <f>IF(OR(C105="Epic",D105=""),"",IFERROR(INDEX(Lists!$A:$A,MATCH(D105,Lists!$B:$B,0)),""))</f>
        <v/>
      </c>
      <c r="F105" s="15" t="n"/>
      <c r="G105" s="15" t="n"/>
      <c r="H105" s="15" t="n"/>
      <c r="I105" s="15" t="n"/>
      <c r="J105" s="16" t="n"/>
      <c r="K105" s="16" t="n"/>
      <c r="L105" s="17">
        <f>IF(OR(C105="Epic",J105=""),"",MAX(0,J105-N(K105)))</f>
        <v/>
      </c>
      <c r="M105" s="18" t="n"/>
      <c r="N105" s="19">
        <f>IF(OR(L105="",M105=""),"",L105*M105)</f>
        <v/>
      </c>
      <c r="O105" s="15" t="n"/>
      <c r="P105" s="16" t="n"/>
      <c r="Q105" s="20" t="n"/>
      <c r="R105" s="21">
        <f>IF(OR(B105="",C105="Epic"),"",IF(Q105="",Settings!$B$3,Q105))</f>
        <v/>
      </c>
      <c r="S105" s="21">
        <f>IF(OR(R105="",P105="",N(L105)=0),"",R105-P105-Settings!$B$4)</f>
        <v/>
      </c>
      <c r="T105" s="17">
        <f>IF(S105="","",S105-TODAY())</f>
        <v/>
      </c>
      <c r="U105" s="14">
        <f>IF(OR(B105="",C105="Epic"),"",IF(N(L105)=0,IF(J105="","","ON HAND"),IF(OR(O105="Ordered",O105="Shipped",O105="Received"),O105,IF(S105="","NEED LEAD TIME",IF(T105&lt;0,"OVERDUE",IF(T105&lt;=Settings!$B$5,"ORDER SOON","OK"))))))</f>
        <v/>
      </c>
      <c r="V105" s="15" t="n"/>
    </row>
    <row r="106">
      <c r="A106" s="14">
        <f>IF(B106="","",IF(C106="Epic",IFERROR(INDEX(Lists!$A:$A,MATCH(B106,Lists!$B:$B,0)),"?"),1000+ROW()))</f>
        <v/>
      </c>
      <c r="B106" s="15" t="n"/>
      <c r="C106" s="15" t="n"/>
      <c r="D106" s="15" t="n"/>
      <c r="E106" s="14">
        <f>IF(OR(C106="Epic",D106=""),"",IFERROR(INDEX(Lists!$A:$A,MATCH(D106,Lists!$B:$B,0)),""))</f>
        <v/>
      </c>
      <c r="F106" s="15" t="n"/>
      <c r="G106" s="15" t="n"/>
      <c r="H106" s="15" t="n"/>
      <c r="I106" s="15" t="n"/>
      <c r="J106" s="16" t="n"/>
      <c r="K106" s="16" t="n"/>
      <c r="L106" s="17">
        <f>IF(OR(C106="Epic",J106=""),"",MAX(0,J106-N(K106)))</f>
        <v/>
      </c>
      <c r="M106" s="18" t="n"/>
      <c r="N106" s="19">
        <f>IF(OR(L106="",M106=""),"",L106*M106)</f>
        <v/>
      </c>
      <c r="O106" s="15" t="n"/>
      <c r="P106" s="16" t="n"/>
      <c r="Q106" s="20" t="n"/>
      <c r="R106" s="21">
        <f>IF(OR(B106="",C106="Epic"),"",IF(Q106="",Settings!$B$3,Q106))</f>
        <v/>
      </c>
      <c r="S106" s="21">
        <f>IF(OR(R106="",P106="",N(L106)=0),"",R106-P106-Settings!$B$4)</f>
        <v/>
      </c>
      <c r="T106" s="17">
        <f>IF(S106="","",S106-TODAY())</f>
        <v/>
      </c>
      <c r="U106" s="14">
        <f>IF(OR(B106="",C106="Epic"),"",IF(N(L106)=0,IF(J106="","","ON HAND"),IF(OR(O106="Ordered",O106="Shipped",O106="Received"),O106,IF(S106="","NEED LEAD TIME",IF(T106&lt;0,"OVERDUE",IF(T106&lt;=Settings!$B$5,"ORDER SOON","OK"))))))</f>
        <v/>
      </c>
      <c r="V106" s="15" t="n"/>
    </row>
    <row r="107">
      <c r="A107" s="14">
        <f>IF(B107="","",IF(C107="Epic",IFERROR(INDEX(Lists!$A:$A,MATCH(B107,Lists!$B:$B,0)),"?"),1000+ROW()))</f>
        <v/>
      </c>
      <c r="B107" s="15" t="n"/>
      <c r="C107" s="15" t="n"/>
      <c r="D107" s="15" t="n"/>
      <c r="E107" s="14">
        <f>IF(OR(C107="Epic",D107=""),"",IFERROR(INDEX(Lists!$A:$A,MATCH(D107,Lists!$B:$B,0)),""))</f>
        <v/>
      </c>
      <c r="F107" s="15" t="n"/>
      <c r="G107" s="15" t="n"/>
      <c r="H107" s="15" t="n"/>
      <c r="I107" s="15" t="n"/>
      <c r="J107" s="16" t="n"/>
      <c r="K107" s="16" t="n"/>
      <c r="L107" s="17">
        <f>IF(OR(C107="Epic",J107=""),"",MAX(0,J107-N(K107)))</f>
        <v/>
      </c>
      <c r="M107" s="18" t="n"/>
      <c r="N107" s="19">
        <f>IF(OR(L107="",M107=""),"",L107*M107)</f>
        <v/>
      </c>
      <c r="O107" s="15" t="n"/>
      <c r="P107" s="16" t="n"/>
      <c r="Q107" s="20" t="n"/>
      <c r="R107" s="21">
        <f>IF(OR(B107="",C107="Epic"),"",IF(Q107="",Settings!$B$3,Q107))</f>
        <v/>
      </c>
      <c r="S107" s="21">
        <f>IF(OR(R107="",P107="",N(L107)=0),"",R107-P107-Settings!$B$4)</f>
        <v/>
      </c>
      <c r="T107" s="17">
        <f>IF(S107="","",S107-TODAY())</f>
        <v/>
      </c>
      <c r="U107" s="14">
        <f>IF(OR(B107="",C107="Epic"),"",IF(N(L107)=0,IF(J107="","","ON HAND"),IF(OR(O107="Ordered",O107="Shipped",O107="Received"),O107,IF(S107="","NEED LEAD TIME",IF(T107&lt;0,"OVERDUE",IF(T107&lt;=Settings!$B$5,"ORDER SOON","OK"))))))</f>
        <v/>
      </c>
      <c r="V107" s="15" t="n"/>
    </row>
    <row r="108">
      <c r="A108" s="14">
        <f>IF(B108="","",IF(C108="Epic",IFERROR(INDEX(Lists!$A:$A,MATCH(B108,Lists!$B:$B,0)),"?"),1000+ROW()))</f>
        <v/>
      </c>
      <c r="B108" s="15" t="n"/>
      <c r="C108" s="15" t="n"/>
      <c r="D108" s="15" t="n"/>
      <c r="E108" s="14">
        <f>IF(OR(C108="Epic",D108=""),"",IFERROR(INDEX(Lists!$A:$A,MATCH(D108,Lists!$B:$B,0)),""))</f>
        <v/>
      </c>
      <c r="F108" s="15" t="n"/>
      <c r="G108" s="15" t="n"/>
      <c r="H108" s="15" t="n"/>
      <c r="I108" s="15" t="n"/>
      <c r="J108" s="16" t="n"/>
      <c r="K108" s="16" t="n"/>
      <c r="L108" s="17">
        <f>IF(OR(C108="Epic",J108=""),"",MAX(0,J108-N(K108)))</f>
        <v/>
      </c>
      <c r="M108" s="18" t="n"/>
      <c r="N108" s="19">
        <f>IF(OR(L108="",M108=""),"",L108*M108)</f>
        <v/>
      </c>
      <c r="O108" s="15" t="n"/>
      <c r="P108" s="16" t="n"/>
      <c r="Q108" s="20" t="n"/>
      <c r="R108" s="21">
        <f>IF(OR(B108="",C108="Epic"),"",IF(Q108="",Settings!$B$3,Q108))</f>
        <v/>
      </c>
      <c r="S108" s="21">
        <f>IF(OR(R108="",P108="",N(L108)=0),"",R108-P108-Settings!$B$4)</f>
        <v/>
      </c>
      <c r="T108" s="17">
        <f>IF(S108="","",S108-TODAY())</f>
        <v/>
      </c>
      <c r="U108" s="14">
        <f>IF(OR(B108="",C108="Epic"),"",IF(N(L108)=0,IF(J108="","","ON HAND"),IF(OR(O108="Ordered",O108="Shipped",O108="Received"),O108,IF(S108="","NEED LEAD TIME",IF(T108&lt;0,"OVERDUE",IF(T108&lt;=Settings!$B$5,"ORDER SOON","OK"))))))</f>
        <v/>
      </c>
      <c r="V108" s="15" t="n"/>
    </row>
    <row r="109">
      <c r="A109" s="14">
        <f>IF(B109="","",IF(C109="Epic",IFERROR(INDEX(Lists!$A:$A,MATCH(B109,Lists!$B:$B,0)),"?"),1000+ROW()))</f>
        <v/>
      </c>
      <c r="B109" s="15" t="n"/>
      <c r="C109" s="15" t="n"/>
      <c r="D109" s="15" t="n"/>
      <c r="E109" s="14">
        <f>IF(OR(C109="Epic",D109=""),"",IFERROR(INDEX(Lists!$A:$A,MATCH(D109,Lists!$B:$B,0)),""))</f>
        <v/>
      </c>
      <c r="F109" s="15" t="n"/>
      <c r="G109" s="15" t="n"/>
      <c r="H109" s="15" t="n"/>
      <c r="I109" s="15" t="n"/>
      <c r="J109" s="16" t="n"/>
      <c r="K109" s="16" t="n"/>
      <c r="L109" s="17">
        <f>IF(OR(C109="Epic",J109=""),"",MAX(0,J109-N(K109)))</f>
        <v/>
      </c>
      <c r="M109" s="18" t="n"/>
      <c r="N109" s="19">
        <f>IF(OR(L109="",M109=""),"",L109*M109)</f>
        <v/>
      </c>
      <c r="O109" s="15" t="n"/>
      <c r="P109" s="16" t="n"/>
      <c r="Q109" s="20" t="n"/>
      <c r="R109" s="21">
        <f>IF(OR(B109="",C109="Epic"),"",IF(Q109="",Settings!$B$3,Q109))</f>
        <v/>
      </c>
      <c r="S109" s="21">
        <f>IF(OR(R109="",P109="",N(L109)=0),"",R109-P109-Settings!$B$4)</f>
        <v/>
      </c>
      <c r="T109" s="17">
        <f>IF(S109="","",S109-TODAY())</f>
        <v/>
      </c>
      <c r="U109" s="14">
        <f>IF(OR(B109="",C109="Epic"),"",IF(N(L109)=0,IF(J109="","","ON HAND"),IF(OR(O109="Ordered",O109="Shipped",O109="Received"),O109,IF(S109="","NEED LEAD TIME",IF(T109&lt;0,"OVERDUE",IF(T109&lt;=Settings!$B$5,"ORDER SOON","OK"))))))</f>
        <v/>
      </c>
      <c r="V109" s="15" t="n"/>
    </row>
    <row r="110">
      <c r="A110" s="14">
        <f>IF(B110="","",IF(C110="Epic",IFERROR(INDEX(Lists!$A:$A,MATCH(B110,Lists!$B:$B,0)),"?"),1000+ROW()))</f>
        <v/>
      </c>
      <c r="B110" s="15" t="n"/>
      <c r="C110" s="15" t="n"/>
      <c r="D110" s="15" t="n"/>
      <c r="E110" s="14">
        <f>IF(OR(C110="Epic",D110=""),"",IFERROR(INDEX(Lists!$A:$A,MATCH(D110,Lists!$B:$B,0)),""))</f>
        <v/>
      </c>
      <c r="F110" s="15" t="n"/>
      <c r="G110" s="15" t="n"/>
      <c r="H110" s="15" t="n"/>
      <c r="I110" s="15" t="n"/>
      <c r="J110" s="16" t="n"/>
      <c r="K110" s="16" t="n"/>
      <c r="L110" s="17">
        <f>IF(OR(C110="Epic",J110=""),"",MAX(0,J110-N(K110)))</f>
        <v/>
      </c>
      <c r="M110" s="18" t="n"/>
      <c r="N110" s="19">
        <f>IF(OR(L110="",M110=""),"",L110*M110)</f>
        <v/>
      </c>
      <c r="O110" s="15" t="n"/>
      <c r="P110" s="16" t="n"/>
      <c r="Q110" s="20" t="n"/>
      <c r="R110" s="21">
        <f>IF(OR(B110="",C110="Epic"),"",IF(Q110="",Settings!$B$3,Q110))</f>
        <v/>
      </c>
      <c r="S110" s="21">
        <f>IF(OR(R110="",P110="",N(L110)=0),"",R110-P110-Settings!$B$4)</f>
        <v/>
      </c>
      <c r="T110" s="17">
        <f>IF(S110="","",S110-TODAY())</f>
        <v/>
      </c>
      <c r="U110" s="14">
        <f>IF(OR(B110="",C110="Epic"),"",IF(N(L110)=0,IF(J110="","","ON HAND"),IF(OR(O110="Ordered",O110="Shipped",O110="Received"),O110,IF(S110="","NEED LEAD TIME",IF(T110&lt;0,"OVERDUE",IF(T110&lt;=Settings!$B$5,"ORDER SOON","OK"))))))</f>
        <v/>
      </c>
      <c r="V110" s="15" t="n"/>
    </row>
    <row r="111">
      <c r="A111" s="14">
        <f>IF(B111="","",IF(C111="Epic",IFERROR(INDEX(Lists!$A:$A,MATCH(B111,Lists!$B:$B,0)),"?"),1000+ROW()))</f>
        <v/>
      </c>
      <c r="B111" s="15" t="n"/>
      <c r="C111" s="15" t="n"/>
      <c r="D111" s="15" t="n"/>
      <c r="E111" s="14">
        <f>IF(OR(C111="Epic",D111=""),"",IFERROR(INDEX(Lists!$A:$A,MATCH(D111,Lists!$B:$B,0)),""))</f>
        <v/>
      </c>
      <c r="F111" s="15" t="n"/>
      <c r="G111" s="15" t="n"/>
      <c r="H111" s="15" t="n"/>
      <c r="I111" s="15" t="n"/>
      <c r="J111" s="16" t="n"/>
      <c r="K111" s="16" t="n"/>
      <c r="L111" s="17">
        <f>IF(OR(C111="Epic",J111=""),"",MAX(0,J111-N(K111)))</f>
        <v/>
      </c>
      <c r="M111" s="18" t="n"/>
      <c r="N111" s="19">
        <f>IF(OR(L111="",M111=""),"",L111*M111)</f>
        <v/>
      </c>
      <c r="O111" s="15" t="n"/>
      <c r="P111" s="16" t="n"/>
      <c r="Q111" s="20" t="n"/>
      <c r="R111" s="21">
        <f>IF(OR(B111="",C111="Epic"),"",IF(Q111="",Settings!$B$3,Q111))</f>
        <v/>
      </c>
      <c r="S111" s="21">
        <f>IF(OR(R111="",P111="",N(L111)=0),"",R111-P111-Settings!$B$4)</f>
        <v/>
      </c>
      <c r="T111" s="17">
        <f>IF(S111="","",S111-TODAY())</f>
        <v/>
      </c>
      <c r="U111" s="14">
        <f>IF(OR(B111="",C111="Epic"),"",IF(N(L111)=0,IF(J111="","","ON HAND"),IF(OR(O111="Ordered",O111="Shipped",O111="Received"),O111,IF(S111="","NEED LEAD TIME",IF(T111&lt;0,"OVERDUE",IF(T111&lt;=Settings!$B$5,"ORDER SOON","OK"))))))</f>
        <v/>
      </c>
      <c r="V111" s="15" t="n"/>
    </row>
    <row r="112">
      <c r="A112" s="14">
        <f>IF(B112="","",IF(C112="Epic",IFERROR(INDEX(Lists!$A:$A,MATCH(B112,Lists!$B:$B,0)),"?"),1000+ROW()))</f>
        <v/>
      </c>
      <c r="B112" s="15" t="n"/>
      <c r="C112" s="15" t="n"/>
      <c r="D112" s="15" t="n"/>
      <c r="E112" s="14">
        <f>IF(OR(C112="Epic",D112=""),"",IFERROR(INDEX(Lists!$A:$A,MATCH(D112,Lists!$B:$B,0)),""))</f>
        <v/>
      </c>
      <c r="F112" s="15" t="n"/>
      <c r="G112" s="15" t="n"/>
      <c r="H112" s="15" t="n"/>
      <c r="I112" s="15" t="n"/>
      <c r="J112" s="16" t="n"/>
      <c r="K112" s="16" t="n"/>
      <c r="L112" s="17">
        <f>IF(OR(C112="Epic",J112=""),"",MAX(0,J112-N(K112)))</f>
        <v/>
      </c>
      <c r="M112" s="18" t="n"/>
      <c r="N112" s="19">
        <f>IF(OR(L112="",M112=""),"",L112*M112)</f>
        <v/>
      </c>
      <c r="O112" s="15" t="n"/>
      <c r="P112" s="16" t="n"/>
      <c r="Q112" s="20" t="n"/>
      <c r="R112" s="21">
        <f>IF(OR(B112="",C112="Epic"),"",IF(Q112="",Settings!$B$3,Q112))</f>
        <v/>
      </c>
      <c r="S112" s="21">
        <f>IF(OR(R112="",P112="",N(L112)=0),"",R112-P112-Settings!$B$4)</f>
        <v/>
      </c>
      <c r="T112" s="17">
        <f>IF(S112="","",S112-TODAY())</f>
        <v/>
      </c>
      <c r="U112" s="14">
        <f>IF(OR(B112="",C112="Epic"),"",IF(N(L112)=0,IF(J112="","","ON HAND"),IF(OR(O112="Ordered",O112="Shipped",O112="Received"),O112,IF(S112="","NEED LEAD TIME",IF(T112&lt;0,"OVERDUE",IF(T112&lt;=Settings!$B$5,"ORDER SOON","OK"))))))</f>
        <v/>
      </c>
      <c r="V112" s="15" t="n"/>
    </row>
    <row r="113">
      <c r="A113" s="14">
        <f>IF(B113="","",IF(C113="Epic",IFERROR(INDEX(Lists!$A:$A,MATCH(B113,Lists!$B:$B,0)),"?"),1000+ROW()))</f>
        <v/>
      </c>
      <c r="B113" s="15" t="n"/>
      <c r="C113" s="15" t="n"/>
      <c r="D113" s="15" t="n"/>
      <c r="E113" s="14">
        <f>IF(OR(C113="Epic",D113=""),"",IFERROR(INDEX(Lists!$A:$A,MATCH(D113,Lists!$B:$B,0)),""))</f>
        <v/>
      </c>
      <c r="F113" s="15" t="n"/>
      <c r="G113" s="15" t="n"/>
      <c r="H113" s="15" t="n"/>
      <c r="I113" s="15" t="n"/>
      <c r="J113" s="16" t="n"/>
      <c r="K113" s="16" t="n"/>
      <c r="L113" s="17">
        <f>IF(OR(C113="Epic",J113=""),"",MAX(0,J113-N(K113)))</f>
        <v/>
      </c>
      <c r="M113" s="18" t="n"/>
      <c r="N113" s="19">
        <f>IF(OR(L113="",M113=""),"",L113*M113)</f>
        <v/>
      </c>
      <c r="O113" s="15" t="n"/>
      <c r="P113" s="16" t="n"/>
      <c r="Q113" s="20" t="n"/>
      <c r="R113" s="21">
        <f>IF(OR(B113="",C113="Epic"),"",IF(Q113="",Settings!$B$3,Q113))</f>
        <v/>
      </c>
      <c r="S113" s="21">
        <f>IF(OR(R113="",P113="",N(L113)=0),"",R113-P113-Settings!$B$4)</f>
        <v/>
      </c>
      <c r="T113" s="17">
        <f>IF(S113="","",S113-TODAY())</f>
        <v/>
      </c>
      <c r="U113" s="14">
        <f>IF(OR(B113="",C113="Epic"),"",IF(N(L113)=0,IF(J113="","","ON HAND"),IF(OR(O113="Ordered",O113="Shipped",O113="Received"),O113,IF(S113="","NEED LEAD TIME",IF(T113&lt;0,"OVERDUE",IF(T113&lt;=Settings!$B$5,"ORDER SOON","OK"))))))</f>
        <v/>
      </c>
      <c r="V113" s="15" t="n"/>
    </row>
    <row r="114">
      <c r="A114" s="14">
        <f>IF(B114="","",IF(C114="Epic",IFERROR(INDEX(Lists!$A:$A,MATCH(B114,Lists!$B:$B,0)),"?"),1000+ROW()))</f>
        <v/>
      </c>
      <c r="B114" s="15" t="n"/>
      <c r="C114" s="15" t="n"/>
      <c r="D114" s="15" t="n"/>
      <c r="E114" s="14">
        <f>IF(OR(C114="Epic",D114=""),"",IFERROR(INDEX(Lists!$A:$A,MATCH(D114,Lists!$B:$B,0)),""))</f>
        <v/>
      </c>
      <c r="F114" s="15" t="n"/>
      <c r="G114" s="15" t="n"/>
      <c r="H114" s="15" t="n"/>
      <c r="I114" s="15" t="n"/>
      <c r="J114" s="16" t="n"/>
      <c r="K114" s="16" t="n"/>
      <c r="L114" s="17">
        <f>IF(OR(C114="Epic",J114=""),"",MAX(0,J114-N(K114)))</f>
        <v/>
      </c>
      <c r="M114" s="18" t="n"/>
      <c r="N114" s="19">
        <f>IF(OR(L114="",M114=""),"",L114*M114)</f>
        <v/>
      </c>
      <c r="O114" s="15" t="n"/>
      <c r="P114" s="16" t="n"/>
      <c r="Q114" s="20" t="n"/>
      <c r="R114" s="21">
        <f>IF(OR(B114="",C114="Epic"),"",IF(Q114="",Settings!$B$3,Q114))</f>
        <v/>
      </c>
      <c r="S114" s="21">
        <f>IF(OR(R114="",P114="",N(L114)=0),"",R114-P114-Settings!$B$4)</f>
        <v/>
      </c>
      <c r="T114" s="17">
        <f>IF(S114="","",S114-TODAY())</f>
        <v/>
      </c>
      <c r="U114" s="14">
        <f>IF(OR(B114="",C114="Epic"),"",IF(N(L114)=0,IF(J114="","","ON HAND"),IF(OR(O114="Ordered",O114="Shipped",O114="Received"),O114,IF(S114="","NEED LEAD TIME",IF(T114&lt;0,"OVERDUE",IF(T114&lt;=Settings!$B$5,"ORDER SOON","OK"))))))</f>
        <v/>
      </c>
      <c r="V114" s="15" t="n"/>
    </row>
    <row r="115">
      <c r="A115" s="14">
        <f>IF(B115="","",IF(C115="Epic",IFERROR(INDEX(Lists!$A:$A,MATCH(B115,Lists!$B:$B,0)),"?"),1000+ROW()))</f>
        <v/>
      </c>
      <c r="B115" s="15" t="n"/>
      <c r="C115" s="15" t="n"/>
      <c r="D115" s="15" t="n"/>
      <c r="E115" s="14">
        <f>IF(OR(C115="Epic",D115=""),"",IFERROR(INDEX(Lists!$A:$A,MATCH(D115,Lists!$B:$B,0)),""))</f>
        <v/>
      </c>
      <c r="F115" s="15" t="n"/>
      <c r="G115" s="15" t="n"/>
      <c r="H115" s="15" t="n"/>
      <c r="I115" s="15" t="n"/>
      <c r="J115" s="16" t="n"/>
      <c r="K115" s="16" t="n"/>
      <c r="L115" s="17">
        <f>IF(OR(C115="Epic",J115=""),"",MAX(0,J115-N(K115)))</f>
        <v/>
      </c>
      <c r="M115" s="18" t="n"/>
      <c r="N115" s="19">
        <f>IF(OR(L115="",M115=""),"",L115*M115)</f>
        <v/>
      </c>
      <c r="O115" s="15" t="n"/>
      <c r="P115" s="16" t="n"/>
      <c r="Q115" s="20" t="n"/>
      <c r="R115" s="21">
        <f>IF(OR(B115="",C115="Epic"),"",IF(Q115="",Settings!$B$3,Q115))</f>
        <v/>
      </c>
      <c r="S115" s="21">
        <f>IF(OR(R115="",P115="",N(L115)=0),"",R115-P115-Settings!$B$4)</f>
        <v/>
      </c>
      <c r="T115" s="17">
        <f>IF(S115="","",S115-TODAY())</f>
        <v/>
      </c>
      <c r="U115" s="14">
        <f>IF(OR(B115="",C115="Epic"),"",IF(N(L115)=0,IF(J115="","","ON HAND"),IF(OR(O115="Ordered",O115="Shipped",O115="Received"),O115,IF(S115="","NEED LEAD TIME",IF(T115&lt;0,"OVERDUE",IF(T115&lt;=Settings!$B$5,"ORDER SOON","OK"))))))</f>
        <v/>
      </c>
      <c r="V115" s="15" t="n"/>
    </row>
    <row r="116">
      <c r="A116" s="14">
        <f>IF(B116="","",IF(C116="Epic",IFERROR(INDEX(Lists!$A:$A,MATCH(B116,Lists!$B:$B,0)),"?"),1000+ROW()))</f>
        <v/>
      </c>
      <c r="B116" s="15" t="n"/>
      <c r="C116" s="15" t="n"/>
      <c r="D116" s="15" t="n"/>
      <c r="E116" s="14">
        <f>IF(OR(C116="Epic",D116=""),"",IFERROR(INDEX(Lists!$A:$A,MATCH(D116,Lists!$B:$B,0)),""))</f>
        <v/>
      </c>
      <c r="F116" s="15" t="n"/>
      <c r="G116" s="15" t="n"/>
      <c r="H116" s="15" t="n"/>
      <c r="I116" s="15" t="n"/>
      <c r="J116" s="16" t="n"/>
      <c r="K116" s="16" t="n"/>
      <c r="L116" s="17">
        <f>IF(OR(C116="Epic",J116=""),"",MAX(0,J116-N(K116)))</f>
        <v/>
      </c>
      <c r="M116" s="18" t="n"/>
      <c r="N116" s="19">
        <f>IF(OR(L116="",M116=""),"",L116*M116)</f>
        <v/>
      </c>
      <c r="O116" s="15" t="n"/>
      <c r="P116" s="16" t="n"/>
      <c r="Q116" s="20" t="n"/>
      <c r="R116" s="21">
        <f>IF(OR(B116="",C116="Epic"),"",IF(Q116="",Settings!$B$3,Q116))</f>
        <v/>
      </c>
      <c r="S116" s="21">
        <f>IF(OR(R116="",P116="",N(L116)=0),"",R116-P116-Settings!$B$4)</f>
        <v/>
      </c>
      <c r="T116" s="17">
        <f>IF(S116="","",S116-TODAY())</f>
        <v/>
      </c>
      <c r="U116" s="14">
        <f>IF(OR(B116="",C116="Epic"),"",IF(N(L116)=0,IF(J116="","","ON HAND"),IF(OR(O116="Ordered",O116="Shipped",O116="Received"),O116,IF(S116="","NEED LEAD TIME",IF(T116&lt;0,"OVERDUE",IF(T116&lt;=Settings!$B$5,"ORDER SOON","OK"))))))</f>
        <v/>
      </c>
      <c r="V116" s="15" t="n"/>
    </row>
    <row r="117">
      <c r="A117" s="14">
        <f>IF(B117="","",IF(C117="Epic",IFERROR(INDEX(Lists!$A:$A,MATCH(B117,Lists!$B:$B,0)),"?"),1000+ROW()))</f>
        <v/>
      </c>
      <c r="B117" s="15" t="n"/>
      <c r="C117" s="15" t="n"/>
      <c r="D117" s="15" t="n"/>
      <c r="E117" s="14">
        <f>IF(OR(C117="Epic",D117=""),"",IFERROR(INDEX(Lists!$A:$A,MATCH(D117,Lists!$B:$B,0)),""))</f>
        <v/>
      </c>
      <c r="F117" s="15" t="n"/>
      <c r="G117" s="15" t="n"/>
      <c r="H117" s="15" t="n"/>
      <c r="I117" s="15" t="n"/>
      <c r="J117" s="16" t="n"/>
      <c r="K117" s="16" t="n"/>
      <c r="L117" s="17">
        <f>IF(OR(C117="Epic",J117=""),"",MAX(0,J117-N(K117)))</f>
        <v/>
      </c>
      <c r="M117" s="18" t="n"/>
      <c r="N117" s="19">
        <f>IF(OR(L117="",M117=""),"",L117*M117)</f>
        <v/>
      </c>
      <c r="O117" s="15" t="n"/>
      <c r="P117" s="16" t="n"/>
      <c r="Q117" s="20" t="n"/>
      <c r="R117" s="21">
        <f>IF(OR(B117="",C117="Epic"),"",IF(Q117="",Settings!$B$3,Q117))</f>
        <v/>
      </c>
      <c r="S117" s="21">
        <f>IF(OR(R117="",P117="",N(L117)=0),"",R117-P117-Settings!$B$4)</f>
        <v/>
      </c>
      <c r="T117" s="17">
        <f>IF(S117="","",S117-TODAY())</f>
        <v/>
      </c>
      <c r="U117" s="14">
        <f>IF(OR(B117="",C117="Epic"),"",IF(N(L117)=0,IF(J117="","","ON HAND"),IF(OR(O117="Ordered",O117="Shipped",O117="Received"),O117,IF(S117="","NEED LEAD TIME",IF(T117&lt;0,"OVERDUE",IF(T117&lt;=Settings!$B$5,"ORDER SOON","OK"))))))</f>
        <v/>
      </c>
      <c r="V117" s="15" t="n"/>
    </row>
    <row r="118">
      <c r="A118" s="14">
        <f>IF(B118="","",IF(C118="Epic",IFERROR(INDEX(Lists!$A:$A,MATCH(B118,Lists!$B:$B,0)),"?"),1000+ROW()))</f>
        <v/>
      </c>
      <c r="B118" s="15" t="n"/>
      <c r="C118" s="15" t="n"/>
      <c r="D118" s="15" t="n"/>
      <c r="E118" s="14">
        <f>IF(OR(C118="Epic",D118=""),"",IFERROR(INDEX(Lists!$A:$A,MATCH(D118,Lists!$B:$B,0)),""))</f>
        <v/>
      </c>
      <c r="F118" s="15" t="n"/>
      <c r="G118" s="15" t="n"/>
      <c r="H118" s="15" t="n"/>
      <c r="I118" s="15" t="n"/>
      <c r="J118" s="16" t="n"/>
      <c r="K118" s="16" t="n"/>
      <c r="L118" s="17">
        <f>IF(OR(C118="Epic",J118=""),"",MAX(0,J118-N(K118)))</f>
        <v/>
      </c>
      <c r="M118" s="18" t="n"/>
      <c r="N118" s="19">
        <f>IF(OR(L118="",M118=""),"",L118*M118)</f>
        <v/>
      </c>
      <c r="O118" s="15" t="n"/>
      <c r="P118" s="16" t="n"/>
      <c r="Q118" s="20" t="n"/>
      <c r="R118" s="21">
        <f>IF(OR(B118="",C118="Epic"),"",IF(Q118="",Settings!$B$3,Q118))</f>
        <v/>
      </c>
      <c r="S118" s="21">
        <f>IF(OR(R118="",P118="",N(L118)=0),"",R118-P118-Settings!$B$4)</f>
        <v/>
      </c>
      <c r="T118" s="17">
        <f>IF(S118="","",S118-TODAY())</f>
        <v/>
      </c>
      <c r="U118" s="14">
        <f>IF(OR(B118="",C118="Epic"),"",IF(N(L118)=0,IF(J118="","","ON HAND"),IF(OR(O118="Ordered",O118="Shipped",O118="Received"),O118,IF(S118="","NEED LEAD TIME",IF(T118&lt;0,"OVERDUE",IF(T118&lt;=Settings!$B$5,"ORDER SOON","OK"))))))</f>
        <v/>
      </c>
      <c r="V118" s="15" t="n"/>
    </row>
    <row r="119">
      <c r="A119" s="14">
        <f>IF(B119="","",IF(C119="Epic",IFERROR(INDEX(Lists!$A:$A,MATCH(B119,Lists!$B:$B,0)),"?"),1000+ROW()))</f>
        <v/>
      </c>
      <c r="B119" s="15" t="n"/>
      <c r="C119" s="15" t="n"/>
      <c r="D119" s="15" t="n"/>
      <c r="E119" s="14">
        <f>IF(OR(C119="Epic",D119=""),"",IFERROR(INDEX(Lists!$A:$A,MATCH(D119,Lists!$B:$B,0)),""))</f>
        <v/>
      </c>
      <c r="F119" s="15" t="n"/>
      <c r="G119" s="15" t="n"/>
      <c r="H119" s="15" t="n"/>
      <c r="I119" s="15" t="n"/>
      <c r="J119" s="16" t="n"/>
      <c r="K119" s="16" t="n"/>
      <c r="L119" s="17">
        <f>IF(OR(C119="Epic",J119=""),"",MAX(0,J119-N(K119)))</f>
        <v/>
      </c>
      <c r="M119" s="18" t="n"/>
      <c r="N119" s="19">
        <f>IF(OR(L119="",M119=""),"",L119*M119)</f>
        <v/>
      </c>
      <c r="O119" s="15" t="n"/>
      <c r="P119" s="16" t="n"/>
      <c r="Q119" s="20" t="n"/>
      <c r="R119" s="21">
        <f>IF(OR(B119="",C119="Epic"),"",IF(Q119="",Settings!$B$3,Q119))</f>
        <v/>
      </c>
      <c r="S119" s="21">
        <f>IF(OR(R119="",P119="",N(L119)=0),"",R119-P119-Settings!$B$4)</f>
        <v/>
      </c>
      <c r="T119" s="17">
        <f>IF(S119="","",S119-TODAY())</f>
        <v/>
      </c>
      <c r="U119" s="14">
        <f>IF(OR(B119="",C119="Epic"),"",IF(N(L119)=0,IF(J119="","","ON HAND"),IF(OR(O119="Ordered",O119="Shipped",O119="Received"),O119,IF(S119="","NEED LEAD TIME",IF(T119&lt;0,"OVERDUE",IF(T119&lt;=Settings!$B$5,"ORDER SOON","OK"))))))</f>
        <v/>
      </c>
      <c r="V119" s="15" t="n"/>
    </row>
    <row r="120">
      <c r="A120" s="14">
        <f>IF(B120="","",IF(C120="Epic",IFERROR(INDEX(Lists!$A:$A,MATCH(B120,Lists!$B:$B,0)),"?"),1000+ROW()))</f>
        <v/>
      </c>
      <c r="B120" s="15" t="n"/>
      <c r="C120" s="15" t="n"/>
      <c r="D120" s="15" t="n"/>
      <c r="E120" s="14">
        <f>IF(OR(C120="Epic",D120=""),"",IFERROR(INDEX(Lists!$A:$A,MATCH(D120,Lists!$B:$B,0)),""))</f>
        <v/>
      </c>
      <c r="F120" s="15" t="n"/>
      <c r="G120" s="15" t="n"/>
      <c r="H120" s="15" t="n"/>
      <c r="I120" s="15" t="n"/>
      <c r="J120" s="16" t="n"/>
      <c r="K120" s="16" t="n"/>
      <c r="L120" s="17">
        <f>IF(OR(C120="Epic",J120=""),"",MAX(0,J120-N(K120)))</f>
        <v/>
      </c>
      <c r="M120" s="18" t="n"/>
      <c r="N120" s="19">
        <f>IF(OR(L120="",M120=""),"",L120*M120)</f>
        <v/>
      </c>
      <c r="O120" s="15" t="n"/>
      <c r="P120" s="16" t="n"/>
      <c r="Q120" s="20" t="n"/>
      <c r="R120" s="21">
        <f>IF(OR(B120="",C120="Epic"),"",IF(Q120="",Settings!$B$3,Q120))</f>
        <v/>
      </c>
      <c r="S120" s="21">
        <f>IF(OR(R120="",P120="",N(L120)=0),"",R120-P120-Settings!$B$4)</f>
        <v/>
      </c>
      <c r="T120" s="17">
        <f>IF(S120="","",S120-TODAY())</f>
        <v/>
      </c>
      <c r="U120" s="14">
        <f>IF(OR(B120="",C120="Epic"),"",IF(N(L120)=0,IF(J120="","","ON HAND"),IF(OR(O120="Ordered",O120="Shipped",O120="Received"),O120,IF(S120="","NEED LEAD TIME",IF(T120&lt;0,"OVERDUE",IF(T120&lt;=Settings!$B$5,"ORDER SOON","OK"))))))</f>
        <v/>
      </c>
      <c r="V120" s="15" t="n"/>
    </row>
    <row r="121">
      <c r="A121" s="14">
        <f>IF(B121="","",IF(C121="Epic",IFERROR(INDEX(Lists!$A:$A,MATCH(B121,Lists!$B:$B,0)),"?"),1000+ROW()))</f>
        <v/>
      </c>
      <c r="B121" s="15" t="n"/>
      <c r="C121" s="15" t="n"/>
      <c r="D121" s="15" t="n"/>
      <c r="E121" s="14">
        <f>IF(OR(C121="Epic",D121=""),"",IFERROR(INDEX(Lists!$A:$A,MATCH(D121,Lists!$B:$B,0)),""))</f>
        <v/>
      </c>
      <c r="F121" s="15" t="n"/>
      <c r="G121" s="15" t="n"/>
      <c r="H121" s="15" t="n"/>
      <c r="I121" s="15" t="n"/>
      <c r="J121" s="16" t="n"/>
      <c r="K121" s="16" t="n"/>
      <c r="L121" s="17">
        <f>IF(OR(C121="Epic",J121=""),"",MAX(0,J121-N(K121)))</f>
        <v/>
      </c>
      <c r="M121" s="18" t="n"/>
      <c r="N121" s="19">
        <f>IF(OR(L121="",M121=""),"",L121*M121)</f>
        <v/>
      </c>
      <c r="O121" s="15" t="n"/>
      <c r="P121" s="16" t="n"/>
      <c r="Q121" s="20" t="n"/>
      <c r="R121" s="21">
        <f>IF(OR(B121="",C121="Epic"),"",IF(Q121="",Settings!$B$3,Q121))</f>
        <v/>
      </c>
      <c r="S121" s="21">
        <f>IF(OR(R121="",P121="",N(L121)=0),"",R121-P121-Settings!$B$4)</f>
        <v/>
      </c>
      <c r="T121" s="17">
        <f>IF(S121="","",S121-TODAY())</f>
        <v/>
      </c>
      <c r="U121" s="14">
        <f>IF(OR(B121="",C121="Epic"),"",IF(N(L121)=0,IF(J121="","","ON HAND"),IF(OR(O121="Ordered",O121="Shipped",O121="Received"),O121,IF(S121="","NEED LEAD TIME",IF(T121&lt;0,"OVERDUE",IF(T121&lt;=Settings!$B$5,"ORDER SOON","OK"))))))</f>
        <v/>
      </c>
      <c r="V121" s="15" t="n"/>
    </row>
    <row r="122">
      <c r="A122" s="14">
        <f>IF(B122="","",IF(C122="Epic",IFERROR(INDEX(Lists!$A:$A,MATCH(B122,Lists!$B:$B,0)),"?"),1000+ROW()))</f>
        <v/>
      </c>
      <c r="B122" s="15" t="n"/>
      <c r="C122" s="15" t="n"/>
      <c r="D122" s="15" t="n"/>
      <c r="E122" s="14">
        <f>IF(OR(C122="Epic",D122=""),"",IFERROR(INDEX(Lists!$A:$A,MATCH(D122,Lists!$B:$B,0)),""))</f>
        <v/>
      </c>
      <c r="F122" s="15" t="n"/>
      <c r="G122" s="15" t="n"/>
      <c r="H122" s="15" t="n"/>
      <c r="I122" s="15" t="n"/>
      <c r="J122" s="16" t="n"/>
      <c r="K122" s="16" t="n"/>
      <c r="L122" s="17">
        <f>IF(OR(C122="Epic",J122=""),"",MAX(0,J122-N(K122)))</f>
        <v/>
      </c>
      <c r="M122" s="18" t="n"/>
      <c r="N122" s="19">
        <f>IF(OR(L122="",M122=""),"",L122*M122)</f>
        <v/>
      </c>
      <c r="O122" s="15" t="n"/>
      <c r="P122" s="16" t="n"/>
      <c r="Q122" s="20" t="n"/>
      <c r="R122" s="21">
        <f>IF(OR(B122="",C122="Epic"),"",IF(Q122="",Settings!$B$3,Q122))</f>
        <v/>
      </c>
      <c r="S122" s="21">
        <f>IF(OR(R122="",P122="",N(L122)=0),"",R122-P122-Settings!$B$4)</f>
        <v/>
      </c>
      <c r="T122" s="17">
        <f>IF(S122="","",S122-TODAY())</f>
        <v/>
      </c>
      <c r="U122" s="14">
        <f>IF(OR(B122="",C122="Epic"),"",IF(N(L122)=0,IF(J122="","","ON HAND"),IF(OR(O122="Ordered",O122="Shipped",O122="Received"),O122,IF(S122="","NEED LEAD TIME",IF(T122&lt;0,"OVERDUE",IF(T122&lt;=Settings!$B$5,"ORDER SOON","OK"))))))</f>
        <v/>
      </c>
      <c r="V122" s="15" t="n"/>
    </row>
    <row r="123">
      <c r="A123" s="14">
        <f>IF(B123="","",IF(C123="Epic",IFERROR(INDEX(Lists!$A:$A,MATCH(B123,Lists!$B:$B,0)),"?"),1000+ROW()))</f>
        <v/>
      </c>
      <c r="B123" s="15" t="n"/>
      <c r="C123" s="15" t="n"/>
      <c r="D123" s="15" t="n"/>
      <c r="E123" s="14">
        <f>IF(OR(C123="Epic",D123=""),"",IFERROR(INDEX(Lists!$A:$A,MATCH(D123,Lists!$B:$B,0)),""))</f>
        <v/>
      </c>
      <c r="F123" s="15" t="n"/>
      <c r="G123" s="15" t="n"/>
      <c r="H123" s="15" t="n"/>
      <c r="I123" s="15" t="n"/>
      <c r="J123" s="16" t="n"/>
      <c r="K123" s="16" t="n"/>
      <c r="L123" s="17">
        <f>IF(OR(C123="Epic",J123=""),"",MAX(0,J123-N(K123)))</f>
        <v/>
      </c>
      <c r="M123" s="18" t="n"/>
      <c r="N123" s="19">
        <f>IF(OR(L123="",M123=""),"",L123*M123)</f>
        <v/>
      </c>
      <c r="O123" s="15" t="n"/>
      <c r="P123" s="16" t="n"/>
      <c r="Q123" s="20" t="n"/>
      <c r="R123" s="21">
        <f>IF(OR(B123="",C123="Epic"),"",IF(Q123="",Settings!$B$3,Q123))</f>
        <v/>
      </c>
      <c r="S123" s="21">
        <f>IF(OR(R123="",P123="",N(L123)=0),"",R123-P123-Settings!$B$4)</f>
        <v/>
      </c>
      <c r="T123" s="17">
        <f>IF(S123="","",S123-TODAY())</f>
        <v/>
      </c>
      <c r="U123" s="14">
        <f>IF(OR(B123="",C123="Epic"),"",IF(N(L123)=0,IF(J123="","","ON HAND"),IF(OR(O123="Ordered",O123="Shipped",O123="Received"),O123,IF(S123="","NEED LEAD TIME",IF(T123&lt;0,"OVERDUE",IF(T123&lt;=Settings!$B$5,"ORDER SOON","OK"))))))</f>
        <v/>
      </c>
      <c r="V123" s="15" t="n"/>
    </row>
    <row r="124">
      <c r="A124" s="14">
        <f>IF(B124="","",IF(C124="Epic",IFERROR(INDEX(Lists!$A:$A,MATCH(B124,Lists!$B:$B,0)),"?"),1000+ROW()))</f>
        <v/>
      </c>
      <c r="B124" s="15" t="n"/>
      <c r="C124" s="15" t="n"/>
      <c r="D124" s="15" t="n"/>
      <c r="E124" s="14">
        <f>IF(OR(C124="Epic",D124=""),"",IFERROR(INDEX(Lists!$A:$A,MATCH(D124,Lists!$B:$B,0)),""))</f>
        <v/>
      </c>
      <c r="F124" s="15" t="n"/>
      <c r="G124" s="15" t="n"/>
      <c r="H124" s="15" t="n"/>
      <c r="I124" s="15" t="n"/>
      <c r="J124" s="16" t="n"/>
      <c r="K124" s="16" t="n"/>
      <c r="L124" s="17">
        <f>IF(OR(C124="Epic",J124=""),"",MAX(0,J124-N(K124)))</f>
        <v/>
      </c>
      <c r="M124" s="18" t="n"/>
      <c r="N124" s="19">
        <f>IF(OR(L124="",M124=""),"",L124*M124)</f>
        <v/>
      </c>
      <c r="O124" s="15" t="n"/>
      <c r="P124" s="16" t="n"/>
      <c r="Q124" s="20" t="n"/>
      <c r="R124" s="21">
        <f>IF(OR(B124="",C124="Epic"),"",IF(Q124="",Settings!$B$3,Q124))</f>
        <v/>
      </c>
      <c r="S124" s="21">
        <f>IF(OR(R124="",P124="",N(L124)=0),"",R124-P124-Settings!$B$4)</f>
        <v/>
      </c>
      <c r="T124" s="17">
        <f>IF(S124="","",S124-TODAY())</f>
        <v/>
      </c>
      <c r="U124" s="14">
        <f>IF(OR(B124="",C124="Epic"),"",IF(N(L124)=0,IF(J124="","","ON HAND"),IF(OR(O124="Ordered",O124="Shipped",O124="Received"),O124,IF(S124="","NEED LEAD TIME",IF(T124&lt;0,"OVERDUE",IF(T124&lt;=Settings!$B$5,"ORDER SOON","OK"))))))</f>
        <v/>
      </c>
      <c r="V124" s="15" t="n"/>
    </row>
    <row r="125">
      <c r="A125" s="14">
        <f>IF(B125="","",IF(C125="Epic",IFERROR(INDEX(Lists!$A:$A,MATCH(B125,Lists!$B:$B,0)),"?"),1000+ROW()))</f>
        <v/>
      </c>
      <c r="B125" s="15" t="n"/>
      <c r="C125" s="15" t="n"/>
      <c r="D125" s="15" t="n"/>
      <c r="E125" s="14">
        <f>IF(OR(C125="Epic",D125=""),"",IFERROR(INDEX(Lists!$A:$A,MATCH(D125,Lists!$B:$B,0)),""))</f>
        <v/>
      </c>
      <c r="F125" s="15" t="n"/>
      <c r="G125" s="15" t="n"/>
      <c r="H125" s="15" t="n"/>
      <c r="I125" s="15" t="n"/>
      <c r="J125" s="16" t="n"/>
      <c r="K125" s="16" t="n"/>
      <c r="L125" s="17">
        <f>IF(OR(C125="Epic",J125=""),"",MAX(0,J125-N(K125)))</f>
        <v/>
      </c>
      <c r="M125" s="18" t="n"/>
      <c r="N125" s="19">
        <f>IF(OR(L125="",M125=""),"",L125*M125)</f>
        <v/>
      </c>
      <c r="O125" s="15" t="n"/>
      <c r="P125" s="16" t="n"/>
      <c r="Q125" s="20" t="n"/>
      <c r="R125" s="21">
        <f>IF(OR(B125="",C125="Epic"),"",IF(Q125="",Settings!$B$3,Q125))</f>
        <v/>
      </c>
      <c r="S125" s="21">
        <f>IF(OR(R125="",P125="",N(L125)=0),"",R125-P125-Settings!$B$4)</f>
        <v/>
      </c>
      <c r="T125" s="17">
        <f>IF(S125="","",S125-TODAY())</f>
        <v/>
      </c>
      <c r="U125" s="14">
        <f>IF(OR(B125="",C125="Epic"),"",IF(N(L125)=0,IF(J125="","","ON HAND"),IF(OR(O125="Ordered",O125="Shipped",O125="Received"),O125,IF(S125="","NEED LEAD TIME",IF(T125&lt;0,"OVERDUE",IF(T125&lt;=Settings!$B$5,"ORDER SOON","OK"))))))</f>
        <v/>
      </c>
      <c r="V125" s="15" t="n"/>
    </row>
    <row r="126">
      <c r="A126" s="14">
        <f>IF(B126="","",IF(C126="Epic",IFERROR(INDEX(Lists!$A:$A,MATCH(B126,Lists!$B:$B,0)),"?"),1000+ROW()))</f>
        <v/>
      </c>
      <c r="B126" s="15" t="n"/>
      <c r="C126" s="15" t="n"/>
      <c r="D126" s="15" t="n"/>
      <c r="E126" s="14">
        <f>IF(OR(C126="Epic",D126=""),"",IFERROR(INDEX(Lists!$A:$A,MATCH(D126,Lists!$B:$B,0)),""))</f>
        <v/>
      </c>
      <c r="F126" s="15" t="n"/>
      <c r="G126" s="15" t="n"/>
      <c r="H126" s="15" t="n"/>
      <c r="I126" s="15" t="n"/>
      <c r="J126" s="16" t="n"/>
      <c r="K126" s="16" t="n"/>
      <c r="L126" s="17">
        <f>IF(OR(C126="Epic",J126=""),"",MAX(0,J126-N(K126)))</f>
        <v/>
      </c>
      <c r="M126" s="18" t="n"/>
      <c r="N126" s="19">
        <f>IF(OR(L126="",M126=""),"",L126*M126)</f>
        <v/>
      </c>
      <c r="O126" s="15" t="n"/>
      <c r="P126" s="16" t="n"/>
      <c r="Q126" s="20" t="n"/>
      <c r="R126" s="21">
        <f>IF(OR(B126="",C126="Epic"),"",IF(Q126="",Settings!$B$3,Q126))</f>
        <v/>
      </c>
      <c r="S126" s="21">
        <f>IF(OR(R126="",P126="",N(L126)=0),"",R126-P126-Settings!$B$4)</f>
        <v/>
      </c>
      <c r="T126" s="17">
        <f>IF(S126="","",S126-TODAY())</f>
        <v/>
      </c>
      <c r="U126" s="14">
        <f>IF(OR(B126="",C126="Epic"),"",IF(N(L126)=0,IF(J126="","","ON HAND"),IF(OR(O126="Ordered",O126="Shipped",O126="Received"),O126,IF(S126="","NEED LEAD TIME",IF(T126&lt;0,"OVERDUE",IF(T126&lt;=Settings!$B$5,"ORDER SOON","OK"))))))</f>
        <v/>
      </c>
      <c r="V126" s="15" t="n"/>
    </row>
    <row r="127">
      <c r="A127" s="14">
        <f>IF(B127="","",IF(C127="Epic",IFERROR(INDEX(Lists!$A:$A,MATCH(B127,Lists!$B:$B,0)),"?"),1000+ROW()))</f>
        <v/>
      </c>
      <c r="B127" s="15" t="n"/>
      <c r="C127" s="15" t="n"/>
      <c r="D127" s="15" t="n"/>
      <c r="E127" s="14">
        <f>IF(OR(C127="Epic",D127=""),"",IFERROR(INDEX(Lists!$A:$A,MATCH(D127,Lists!$B:$B,0)),""))</f>
        <v/>
      </c>
      <c r="F127" s="15" t="n"/>
      <c r="G127" s="15" t="n"/>
      <c r="H127" s="15" t="n"/>
      <c r="I127" s="15" t="n"/>
      <c r="J127" s="16" t="n"/>
      <c r="K127" s="16" t="n"/>
      <c r="L127" s="17">
        <f>IF(OR(C127="Epic",J127=""),"",MAX(0,J127-N(K127)))</f>
        <v/>
      </c>
      <c r="M127" s="18" t="n"/>
      <c r="N127" s="19">
        <f>IF(OR(L127="",M127=""),"",L127*M127)</f>
        <v/>
      </c>
      <c r="O127" s="15" t="n"/>
      <c r="P127" s="16" t="n"/>
      <c r="Q127" s="20" t="n"/>
      <c r="R127" s="21">
        <f>IF(OR(B127="",C127="Epic"),"",IF(Q127="",Settings!$B$3,Q127))</f>
        <v/>
      </c>
      <c r="S127" s="21">
        <f>IF(OR(R127="",P127="",N(L127)=0),"",R127-P127-Settings!$B$4)</f>
        <v/>
      </c>
      <c r="T127" s="17">
        <f>IF(S127="","",S127-TODAY())</f>
        <v/>
      </c>
      <c r="U127" s="14">
        <f>IF(OR(B127="",C127="Epic"),"",IF(N(L127)=0,IF(J127="","","ON HAND"),IF(OR(O127="Ordered",O127="Shipped",O127="Received"),O127,IF(S127="","NEED LEAD TIME",IF(T127&lt;0,"OVERDUE",IF(T127&lt;=Settings!$B$5,"ORDER SOON","OK"))))))</f>
        <v/>
      </c>
      <c r="V127" s="15" t="n"/>
    </row>
    <row r="128">
      <c r="A128" s="14">
        <f>IF(B128="","",IF(C128="Epic",IFERROR(INDEX(Lists!$A:$A,MATCH(B128,Lists!$B:$B,0)),"?"),1000+ROW()))</f>
        <v/>
      </c>
      <c r="B128" s="15" t="n"/>
      <c r="C128" s="15" t="n"/>
      <c r="D128" s="15" t="n"/>
      <c r="E128" s="14">
        <f>IF(OR(C128="Epic",D128=""),"",IFERROR(INDEX(Lists!$A:$A,MATCH(D128,Lists!$B:$B,0)),""))</f>
        <v/>
      </c>
      <c r="F128" s="15" t="n"/>
      <c r="G128" s="15" t="n"/>
      <c r="H128" s="15" t="n"/>
      <c r="I128" s="15" t="n"/>
      <c r="J128" s="16" t="n"/>
      <c r="K128" s="16" t="n"/>
      <c r="L128" s="17">
        <f>IF(OR(C128="Epic",J128=""),"",MAX(0,J128-N(K128)))</f>
        <v/>
      </c>
      <c r="M128" s="18" t="n"/>
      <c r="N128" s="19">
        <f>IF(OR(L128="",M128=""),"",L128*M128)</f>
        <v/>
      </c>
      <c r="O128" s="15" t="n"/>
      <c r="P128" s="16" t="n"/>
      <c r="Q128" s="20" t="n"/>
      <c r="R128" s="21">
        <f>IF(OR(B128="",C128="Epic"),"",IF(Q128="",Settings!$B$3,Q128))</f>
        <v/>
      </c>
      <c r="S128" s="21">
        <f>IF(OR(R128="",P128="",N(L128)=0),"",R128-P128-Settings!$B$4)</f>
        <v/>
      </c>
      <c r="T128" s="17">
        <f>IF(S128="","",S128-TODAY())</f>
        <v/>
      </c>
      <c r="U128" s="14">
        <f>IF(OR(B128="",C128="Epic"),"",IF(N(L128)=0,IF(J128="","","ON HAND"),IF(OR(O128="Ordered",O128="Shipped",O128="Received"),O128,IF(S128="","NEED LEAD TIME",IF(T128&lt;0,"OVERDUE",IF(T128&lt;=Settings!$B$5,"ORDER SOON","OK"))))))</f>
        <v/>
      </c>
      <c r="V128" s="15" t="n"/>
    </row>
    <row r="129">
      <c r="A129" s="14">
        <f>IF(B129="","",IF(C129="Epic",IFERROR(INDEX(Lists!$A:$A,MATCH(B129,Lists!$B:$B,0)),"?"),1000+ROW()))</f>
        <v/>
      </c>
      <c r="B129" s="15" t="n"/>
      <c r="C129" s="15" t="n"/>
      <c r="D129" s="15" t="n"/>
      <c r="E129" s="14">
        <f>IF(OR(C129="Epic",D129=""),"",IFERROR(INDEX(Lists!$A:$A,MATCH(D129,Lists!$B:$B,0)),""))</f>
        <v/>
      </c>
      <c r="F129" s="15" t="n"/>
      <c r="G129" s="15" t="n"/>
      <c r="H129" s="15" t="n"/>
      <c r="I129" s="15" t="n"/>
      <c r="J129" s="16" t="n"/>
      <c r="K129" s="16" t="n"/>
      <c r="L129" s="17">
        <f>IF(OR(C129="Epic",J129=""),"",MAX(0,J129-N(K129)))</f>
        <v/>
      </c>
      <c r="M129" s="18" t="n"/>
      <c r="N129" s="19">
        <f>IF(OR(L129="",M129=""),"",L129*M129)</f>
        <v/>
      </c>
      <c r="O129" s="15" t="n"/>
      <c r="P129" s="16" t="n"/>
      <c r="Q129" s="20" t="n"/>
      <c r="R129" s="21">
        <f>IF(OR(B129="",C129="Epic"),"",IF(Q129="",Settings!$B$3,Q129))</f>
        <v/>
      </c>
      <c r="S129" s="21">
        <f>IF(OR(R129="",P129="",N(L129)=0),"",R129-P129-Settings!$B$4)</f>
        <v/>
      </c>
      <c r="T129" s="17">
        <f>IF(S129="","",S129-TODAY())</f>
        <v/>
      </c>
      <c r="U129" s="14">
        <f>IF(OR(B129="",C129="Epic"),"",IF(N(L129)=0,IF(J129="","","ON HAND"),IF(OR(O129="Ordered",O129="Shipped",O129="Received"),O129,IF(S129="","NEED LEAD TIME",IF(T129&lt;0,"OVERDUE",IF(T129&lt;=Settings!$B$5,"ORDER SOON","OK"))))))</f>
        <v/>
      </c>
      <c r="V129" s="15" t="n"/>
    </row>
    <row r="130">
      <c r="A130" s="14">
        <f>IF(B130="","",IF(C130="Epic",IFERROR(INDEX(Lists!$A:$A,MATCH(B130,Lists!$B:$B,0)),"?"),1000+ROW()))</f>
        <v/>
      </c>
      <c r="B130" s="15" t="n"/>
      <c r="C130" s="15" t="n"/>
      <c r="D130" s="15" t="n"/>
      <c r="E130" s="14">
        <f>IF(OR(C130="Epic",D130=""),"",IFERROR(INDEX(Lists!$A:$A,MATCH(D130,Lists!$B:$B,0)),""))</f>
        <v/>
      </c>
      <c r="F130" s="15" t="n"/>
      <c r="G130" s="15" t="n"/>
      <c r="H130" s="15" t="n"/>
      <c r="I130" s="15" t="n"/>
      <c r="J130" s="16" t="n"/>
      <c r="K130" s="16" t="n"/>
      <c r="L130" s="17">
        <f>IF(OR(C130="Epic",J130=""),"",MAX(0,J130-N(K130)))</f>
        <v/>
      </c>
      <c r="M130" s="18" t="n"/>
      <c r="N130" s="19">
        <f>IF(OR(L130="",M130=""),"",L130*M130)</f>
        <v/>
      </c>
      <c r="O130" s="15" t="n"/>
      <c r="P130" s="16" t="n"/>
      <c r="Q130" s="20" t="n"/>
      <c r="R130" s="21">
        <f>IF(OR(B130="",C130="Epic"),"",IF(Q130="",Settings!$B$3,Q130))</f>
        <v/>
      </c>
      <c r="S130" s="21">
        <f>IF(OR(R130="",P130="",N(L130)=0),"",R130-P130-Settings!$B$4)</f>
        <v/>
      </c>
      <c r="T130" s="17">
        <f>IF(S130="","",S130-TODAY())</f>
        <v/>
      </c>
      <c r="U130" s="14">
        <f>IF(OR(B130="",C130="Epic"),"",IF(N(L130)=0,IF(J130="","","ON HAND"),IF(OR(O130="Ordered",O130="Shipped",O130="Received"),O130,IF(S130="","NEED LEAD TIME",IF(T130&lt;0,"OVERDUE",IF(T130&lt;=Settings!$B$5,"ORDER SOON","OK"))))))</f>
        <v/>
      </c>
      <c r="V130" s="15" t="n"/>
    </row>
    <row r="131">
      <c r="A131" s="14">
        <f>IF(B131="","",IF(C131="Epic",IFERROR(INDEX(Lists!$A:$A,MATCH(B131,Lists!$B:$B,0)),"?"),1000+ROW()))</f>
        <v/>
      </c>
      <c r="B131" s="15" t="n"/>
      <c r="C131" s="15" t="n"/>
      <c r="D131" s="15" t="n"/>
      <c r="E131" s="14">
        <f>IF(OR(C131="Epic",D131=""),"",IFERROR(INDEX(Lists!$A:$A,MATCH(D131,Lists!$B:$B,0)),""))</f>
        <v/>
      </c>
      <c r="F131" s="15" t="n"/>
      <c r="G131" s="15" t="n"/>
      <c r="H131" s="15" t="n"/>
      <c r="I131" s="15" t="n"/>
      <c r="J131" s="16" t="n"/>
      <c r="K131" s="16" t="n"/>
      <c r="L131" s="17">
        <f>IF(OR(C131="Epic",J131=""),"",MAX(0,J131-N(K131)))</f>
        <v/>
      </c>
      <c r="M131" s="18" t="n"/>
      <c r="N131" s="19">
        <f>IF(OR(L131="",M131=""),"",L131*M131)</f>
        <v/>
      </c>
      <c r="O131" s="15" t="n"/>
      <c r="P131" s="16" t="n"/>
      <c r="Q131" s="20" t="n"/>
      <c r="R131" s="21">
        <f>IF(OR(B131="",C131="Epic"),"",IF(Q131="",Settings!$B$3,Q131))</f>
        <v/>
      </c>
      <c r="S131" s="21">
        <f>IF(OR(R131="",P131="",N(L131)=0),"",R131-P131-Settings!$B$4)</f>
        <v/>
      </c>
      <c r="T131" s="17">
        <f>IF(S131="","",S131-TODAY())</f>
        <v/>
      </c>
      <c r="U131" s="14">
        <f>IF(OR(B131="",C131="Epic"),"",IF(N(L131)=0,IF(J131="","","ON HAND"),IF(OR(O131="Ordered",O131="Shipped",O131="Received"),O131,IF(S131="","NEED LEAD TIME",IF(T131&lt;0,"OVERDUE",IF(T131&lt;=Settings!$B$5,"ORDER SOON","OK"))))))</f>
        <v/>
      </c>
      <c r="V131" s="15" t="n"/>
    </row>
    <row r="132">
      <c r="A132" s="14">
        <f>IF(B132="","",IF(C132="Epic",IFERROR(INDEX(Lists!$A:$A,MATCH(B132,Lists!$B:$B,0)),"?"),1000+ROW()))</f>
        <v/>
      </c>
      <c r="B132" s="15" t="n"/>
      <c r="C132" s="15" t="n"/>
      <c r="D132" s="15" t="n"/>
      <c r="E132" s="14">
        <f>IF(OR(C132="Epic",D132=""),"",IFERROR(INDEX(Lists!$A:$A,MATCH(D132,Lists!$B:$B,0)),""))</f>
        <v/>
      </c>
      <c r="F132" s="15" t="n"/>
      <c r="G132" s="15" t="n"/>
      <c r="H132" s="15" t="n"/>
      <c r="I132" s="15" t="n"/>
      <c r="J132" s="16" t="n"/>
      <c r="K132" s="16" t="n"/>
      <c r="L132" s="17">
        <f>IF(OR(C132="Epic",J132=""),"",MAX(0,J132-N(K132)))</f>
        <v/>
      </c>
      <c r="M132" s="18" t="n"/>
      <c r="N132" s="19">
        <f>IF(OR(L132="",M132=""),"",L132*M132)</f>
        <v/>
      </c>
      <c r="O132" s="15" t="n"/>
      <c r="P132" s="16" t="n"/>
      <c r="Q132" s="20" t="n"/>
      <c r="R132" s="21">
        <f>IF(OR(B132="",C132="Epic"),"",IF(Q132="",Settings!$B$3,Q132))</f>
        <v/>
      </c>
      <c r="S132" s="21">
        <f>IF(OR(R132="",P132="",N(L132)=0),"",R132-P132-Settings!$B$4)</f>
        <v/>
      </c>
      <c r="T132" s="17">
        <f>IF(S132="","",S132-TODAY())</f>
        <v/>
      </c>
      <c r="U132" s="14">
        <f>IF(OR(B132="",C132="Epic"),"",IF(N(L132)=0,IF(J132="","","ON HAND"),IF(OR(O132="Ordered",O132="Shipped",O132="Received"),O132,IF(S132="","NEED LEAD TIME",IF(T132&lt;0,"OVERDUE",IF(T132&lt;=Settings!$B$5,"ORDER SOON","OK"))))))</f>
        <v/>
      </c>
      <c r="V132" s="15" t="n"/>
    </row>
    <row r="133">
      <c r="A133" s="14">
        <f>IF(B133="","",IF(C133="Epic",IFERROR(INDEX(Lists!$A:$A,MATCH(B133,Lists!$B:$B,0)),"?"),1000+ROW()))</f>
        <v/>
      </c>
      <c r="B133" s="15" t="n"/>
      <c r="C133" s="15" t="n"/>
      <c r="D133" s="15" t="n"/>
      <c r="E133" s="14">
        <f>IF(OR(C133="Epic",D133=""),"",IFERROR(INDEX(Lists!$A:$A,MATCH(D133,Lists!$B:$B,0)),""))</f>
        <v/>
      </c>
      <c r="F133" s="15" t="n"/>
      <c r="G133" s="15" t="n"/>
      <c r="H133" s="15" t="n"/>
      <c r="I133" s="15" t="n"/>
      <c r="J133" s="16" t="n"/>
      <c r="K133" s="16" t="n"/>
      <c r="L133" s="17">
        <f>IF(OR(C133="Epic",J133=""),"",MAX(0,J133-N(K133)))</f>
        <v/>
      </c>
      <c r="M133" s="18" t="n"/>
      <c r="N133" s="19">
        <f>IF(OR(L133="",M133=""),"",L133*M133)</f>
        <v/>
      </c>
      <c r="O133" s="15" t="n"/>
      <c r="P133" s="16" t="n"/>
      <c r="Q133" s="20" t="n"/>
      <c r="R133" s="21">
        <f>IF(OR(B133="",C133="Epic"),"",IF(Q133="",Settings!$B$3,Q133))</f>
        <v/>
      </c>
      <c r="S133" s="21">
        <f>IF(OR(R133="",P133="",N(L133)=0),"",R133-P133-Settings!$B$4)</f>
        <v/>
      </c>
      <c r="T133" s="17">
        <f>IF(S133="","",S133-TODAY())</f>
        <v/>
      </c>
      <c r="U133" s="14">
        <f>IF(OR(B133="",C133="Epic"),"",IF(N(L133)=0,IF(J133="","","ON HAND"),IF(OR(O133="Ordered",O133="Shipped",O133="Received"),O133,IF(S133="","NEED LEAD TIME",IF(T133&lt;0,"OVERDUE",IF(T133&lt;=Settings!$B$5,"ORDER SOON","OK"))))))</f>
        <v/>
      </c>
      <c r="V133" s="15" t="n"/>
    </row>
    <row r="134">
      <c r="A134" s="14">
        <f>IF(B134="","",IF(C134="Epic",IFERROR(INDEX(Lists!$A:$A,MATCH(B134,Lists!$B:$B,0)),"?"),1000+ROW()))</f>
        <v/>
      </c>
      <c r="B134" s="15" t="n"/>
      <c r="C134" s="15" t="n"/>
      <c r="D134" s="15" t="n"/>
      <c r="E134" s="14">
        <f>IF(OR(C134="Epic",D134=""),"",IFERROR(INDEX(Lists!$A:$A,MATCH(D134,Lists!$B:$B,0)),""))</f>
        <v/>
      </c>
      <c r="F134" s="15" t="n"/>
      <c r="G134" s="15" t="n"/>
      <c r="H134" s="15" t="n"/>
      <c r="I134" s="15" t="n"/>
      <c r="J134" s="16" t="n"/>
      <c r="K134" s="16" t="n"/>
      <c r="L134" s="17">
        <f>IF(OR(C134="Epic",J134=""),"",MAX(0,J134-N(K134)))</f>
        <v/>
      </c>
      <c r="M134" s="18" t="n"/>
      <c r="N134" s="19">
        <f>IF(OR(L134="",M134=""),"",L134*M134)</f>
        <v/>
      </c>
      <c r="O134" s="15" t="n"/>
      <c r="P134" s="16" t="n"/>
      <c r="Q134" s="20" t="n"/>
      <c r="R134" s="21">
        <f>IF(OR(B134="",C134="Epic"),"",IF(Q134="",Settings!$B$3,Q134))</f>
        <v/>
      </c>
      <c r="S134" s="21">
        <f>IF(OR(R134="",P134="",N(L134)=0),"",R134-P134-Settings!$B$4)</f>
        <v/>
      </c>
      <c r="T134" s="17">
        <f>IF(S134="","",S134-TODAY())</f>
        <v/>
      </c>
      <c r="U134" s="14">
        <f>IF(OR(B134="",C134="Epic"),"",IF(N(L134)=0,IF(J134="","","ON HAND"),IF(OR(O134="Ordered",O134="Shipped",O134="Received"),O134,IF(S134="","NEED LEAD TIME",IF(T134&lt;0,"OVERDUE",IF(T134&lt;=Settings!$B$5,"ORDER SOON","OK"))))))</f>
        <v/>
      </c>
      <c r="V134" s="15" t="n"/>
    </row>
    <row r="135">
      <c r="A135" s="14">
        <f>IF(B135="","",IF(C135="Epic",IFERROR(INDEX(Lists!$A:$A,MATCH(B135,Lists!$B:$B,0)),"?"),1000+ROW()))</f>
        <v/>
      </c>
      <c r="B135" s="15" t="n"/>
      <c r="C135" s="15" t="n"/>
      <c r="D135" s="15" t="n"/>
      <c r="E135" s="14">
        <f>IF(OR(C135="Epic",D135=""),"",IFERROR(INDEX(Lists!$A:$A,MATCH(D135,Lists!$B:$B,0)),""))</f>
        <v/>
      </c>
      <c r="F135" s="15" t="n"/>
      <c r="G135" s="15" t="n"/>
      <c r="H135" s="15" t="n"/>
      <c r="I135" s="15" t="n"/>
      <c r="J135" s="16" t="n"/>
      <c r="K135" s="16" t="n"/>
      <c r="L135" s="17">
        <f>IF(OR(C135="Epic",J135=""),"",MAX(0,J135-N(K135)))</f>
        <v/>
      </c>
      <c r="M135" s="18" t="n"/>
      <c r="N135" s="19">
        <f>IF(OR(L135="",M135=""),"",L135*M135)</f>
        <v/>
      </c>
      <c r="O135" s="15" t="n"/>
      <c r="P135" s="16" t="n"/>
      <c r="Q135" s="20" t="n"/>
      <c r="R135" s="21">
        <f>IF(OR(B135="",C135="Epic"),"",IF(Q135="",Settings!$B$3,Q135))</f>
        <v/>
      </c>
      <c r="S135" s="21">
        <f>IF(OR(R135="",P135="",N(L135)=0),"",R135-P135-Settings!$B$4)</f>
        <v/>
      </c>
      <c r="T135" s="17">
        <f>IF(S135="","",S135-TODAY())</f>
        <v/>
      </c>
      <c r="U135" s="14">
        <f>IF(OR(B135="",C135="Epic"),"",IF(N(L135)=0,IF(J135="","","ON HAND"),IF(OR(O135="Ordered",O135="Shipped",O135="Received"),O135,IF(S135="","NEED LEAD TIME",IF(T135&lt;0,"OVERDUE",IF(T135&lt;=Settings!$B$5,"ORDER SOON","OK"))))))</f>
        <v/>
      </c>
      <c r="V135" s="15" t="n"/>
    </row>
    <row r="136">
      <c r="A136" s="14">
        <f>IF(B136="","",IF(C136="Epic",IFERROR(INDEX(Lists!$A:$A,MATCH(B136,Lists!$B:$B,0)),"?"),1000+ROW()))</f>
        <v/>
      </c>
      <c r="B136" s="15" t="n"/>
      <c r="C136" s="15" t="n"/>
      <c r="D136" s="15" t="n"/>
      <c r="E136" s="14">
        <f>IF(OR(C136="Epic",D136=""),"",IFERROR(INDEX(Lists!$A:$A,MATCH(D136,Lists!$B:$B,0)),""))</f>
        <v/>
      </c>
      <c r="F136" s="15" t="n"/>
      <c r="G136" s="15" t="n"/>
      <c r="H136" s="15" t="n"/>
      <c r="I136" s="15" t="n"/>
      <c r="J136" s="16" t="n"/>
      <c r="K136" s="16" t="n"/>
      <c r="L136" s="17">
        <f>IF(OR(C136="Epic",J136=""),"",MAX(0,J136-N(K136)))</f>
        <v/>
      </c>
      <c r="M136" s="18" t="n"/>
      <c r="N136" s="19">
        <f>IF(OR(L136="",M136=""),"",L136*M136)</f>
        <v/>
      </c>
      <c r="O136" s="15" t="n"/>
      <c r="P136" s="16" t="n"/>
      <c r="Q136" s="20" t="n"/>
      <c r="R136" s="21">
        <f>IF(OR(B136="",C136="Epic"),"",IF(Q136="",Settings!$B$3,Q136))</f>
        <v/>
      </c>
      <c r="S136" s="21">
        <f>IF(OR(R136="",P136="",N(L136)=0),"",R136-P136-Settings!$B$4)</f>
        <v/>
      </c>
      <c r="T136" s="17">
        <f>IF(S136="","",S136-TODAY())</f>
        <v/>
      </c>
      <c r="U136" s="14">
        <f>IF(OR(B136="",C136="Epic"),"",IF(N(L136)=0,IF(J136="","","ON HAND"),IF(OR(O136="Ordered",O136="Shipped",O136="Received"),O136,IF(S136="","NEED LEAD TIME",IF(T136&lt;0,"OVERDUE",IF(T136&lt;=Settings!$B$5,"ORDER SOON","OK"))))))</f>
        <v/>
      </c>
      <c r="V136" s="15" t="n"/>
    </row>
    <row r="137">
      <c r="A137" s="14">
        <f>IF(B137="","",IF(C137="Epic",IFERROR(INDEX(Lists!$A:$A,MATCH(B137,Lists!$B:$B,0)),"?"),1000+ROW()))</f>
        <v/>
      </c>
      <c r="B137" s="15" t="n"/>
      <c r="C137" s="15" t="n"/>
      <c r="D137" s="15" t="n"/>
      <c r="E137" s="14">
        <f>IF(OR(C137="Epic",D137=""),"",IFERROR(INDEX(Lists!$A:$A,MATCH(D137,Lists!$B:$B,0)),""))</f>
        <v/>
      </c>
      <c r="F137" s="15" t="n"/>
      <c r="G137" s="15" t="n"/>
      <c r="H137" s="15" t="n"/>
      <c r="I137" s="15" t="n"/>
      <c r="J137" s="16" t="n"/>
      <c r="K137" s="16" t="n"/>
      <c r="L137" s="17">
        <f>IF(OR(C137="Epic",J137=""),"",MAX(0,J137-N(K137)))</f>
        <v/>
      </c>
      <c r="M137" s="18" t="n"/>
      <c r="N137" s="19">
        <f>IF(OR(L137="",M137=""),"",L137*M137)</f>
        <v/>
      </c>
      <c r="O137" s="15" t="n"/>
      <c r="P137" s="16" t="n"/>
      <c r="Q137" s="20" t="n"/>
      <c r="R137" s="21">
        <f>IF(OR(B137="",C137="Epic"),"",IF(Q137="",Settings!$B$3,Q137))</f>
        <v/>
      </c>
      <c r="S137" s="21">
        <f>IF(OR(R137="",P137="",N(L137)=0),"",R137-P137-Settings!$B$4)</f>
        <v/>
      </c>
      <c r="T137" s="17">
        <f>IF(S137="","",S137-TODAY())</f>
        <v/>
      </c>
      <c r="U137" s="14">
        <f>IF(OR(B137="",C137="Epic"),"",IF(N(L137)=0,IF(J137="","","ON HAND"),IF(OR(O137="Ordered",O137="Shipped",O137="Received"),O137,IF(S137="","NEED LEAD TIME",IF(T137&lt;0,"OVERDUE",IF(T137&lt;=Settings!$B$5,"ORDER SOON","OK"))))))</f>
        <v/>
      </c>
      <c r="V137" s="15" t="n"/>
    </row>
    <row r="138">
      <c r="A138" s="14">
        <f>IF(B138="","",IF(C138="Epic",IFERROR(INDEX(Lists!$A:$A,MATCH(B138,Lists!$B:$B,0)),"?"),1000+ROW()))</f>
        <v/>
      </c>
      <c r="B138" s="15" t="n"/>
      <c r="C138" s="15" t="n"/>
      <c r="D138" s="15" t="n"/>
      <c r="E138" s="14">
        <f>IF(OR(C138="Epic",D138=""),"",IFERROR(INDEX(Lists!$A:$A,MATCH(D138,Lists!$B:$B,0)),""))</f>
        <v/>
      </c>
      <c r="F138" s="15" t="n"/>
      <c r="G138" s="15" t="n"/>
      <c r="H138" s="15" t="n"/>
      <c r="I138" s="15" t="n"/>
      <c r="J138" s="16" t="n"/>
      <c r="K138" s="16" t="n"/>
      <c r="L138" s="17">
        <f>IF(OR(C138="Epic",J138=""),"",MAX(0,J138-N(K138)))</f>
        <v/>
      </c>
      <c r="M138" s="18" t="n"/>
      <c r="N138" s="19">
        <f>IF(OR(L138="",M138=""),"",L138*M138)</f>
        <v/>
      </c>
      <c r="O138" s="15" t="n"/>
      <c r="P138" s="16" t="n"/>
      <c r="Q138" s="20" t="n"/>
      <c r="R138" s="21">
        <f>IF(OR(B138="",C138="Epic"),"",IF(Q138="",Settings!$B$3,Q138))</f>
        <v/>
      </c>
      <c r="S138" s="21">
        <f>IF(OR(R138="",P138="",N(L138)=0),"",R138-P138-Settings!$B$4)</f>
        <v/>
      </c>
      <c r="T138" s="17">
        <f>IF(S138="","",S138-TODAY())</f>
        <v/>
      </c>
      <c r="U138" s="14">
        <f>IF(OR(B138="",C138="Epic"),"",IF(N(L138)=0,IF(J138="","","ON HAND"),IF(OR(O138="Ordered",O138="Shipped",O138="Received"),O138,IF(S138="","NEED LEAD TIME",IF(T138&lt;0,"OVERDUE",IF(T138&lt;=Settings!$B$5,"ORDER SOON","OK"))))))</f>
        <v/>
      </c>
      <c r="V138" s="15" t="n"/>
    </row>
    <row r="139">
      <c r="A139" s="14">
        <f>IF(B139="","",IF(C139="Epic",IFERROR(INDEX(Lists!$A:$A,MATCH(B139,Lists!$B:$B,0)),"?"),1000+ROW()))</f>
        <v/>
      </c>
      <c r="B139" s="15" t="n"/>
      <c r="C139" s="15" t="n"/>
      <c r="D139" s="15" t="n"/>
      <c r="E139" s="14">
        <f>IF(OR(C139="Epic",D139=""),"",IFERROR(INDEX(Lists!$A:$A,MATCH(D139,Lists!$B:$B,0)),""))</f>
        <v/>
      </c>
      <c r="F139" s="15" t="n"/>
      <c r="G139" s="15" t="n"/>
      <c r="H139" s="15" t="n"/>
      <c r="I139" s="15" t="n"/>
      <c r="J139" s="16" t="n"/>
      <c r="K139" s="16" t="n"/>
      <c r="L139" s="17">
        <f>IF(OR(C139="Epic",J139=""),"",MAX(0,J139-N(K139)))</f>
        <v/>
      </c>
      <c r="M139" s="18" t="n"/>
      <c r="N139" s="19">
        <f>IF(OR(L139="",M139=""),"",L139*M139)</f>
        <v/>
      </c>
      <c r="O139" s="15" t="n"/>
      <c r="P139" s="16" t="n"/>
      <c r="Q139" s="20" t="n"/>
      <c r="R139" s="21">
        <f>IF(OR(B139="",C139="Epic"),"",IF(Q139="",Settings!$B$3,Q139))</f>
        <v/>
      </c>
      <c r="S139" s="21">
        <f>IF(OR(R139="",P139="",N(L139)=0),"",R139-P139-Settings!$B$4)</f>
        <v/>
      </c>
      <c r="T139" s="17">
        <f>IF(S139="","",S139-TODAY())</f>
        <v/>
      </c>
      <c r="U139" s="14">
        <f>IF(OR(B139="",C139="Epic"),"",IF(N(L139)=0,IF(J139="","","ON HAND"),IF(OR(O139="Ordered",O139="Shipped",O139="Received"),O139,IF(S139="","NEED LEAD TIME",IF(T139&lt;0,"OVERDUE",IF(T139&lt;=Settings!$B$5,"ORDER SOON","OK"))))))</f>
        <v/>
      </c>
      <c r="V139" s="15" t="n"/>
    </row>
    <row r="140">
      <c r="A140" s="14">
        <f>IF(B140="","",IF(C140="Epic",IFERROR(INDEX(Lists!$A:$A,MATCH(B140,Lists!$B:$B,0)),"?"),1000+ROW()))</f>
        <v/>
      </c>
      <c r="B140" s="15" t="n"/>
      <c r="C140" s="15" t="n"/>
      <c r="D140" s="15" t="n"/>
      <c r="E140" s="14">
        <f>IF(OR(C140="Epic",D140=""),"",IFERROR(INDEX(Lists!$A:$A,MATCH(D140,Lists!$B:$B,0)),""))</f>
        <v/>
      </c>
      <c r="F140" s="15" t="n"/>
      <c r="G140" s="15" t="n"/>
      <c r="H140" s="15" t="n"/>
      <c r="I140" s="15" t="n"/>
      <c r="J140" s="16" t="n"/>
      <c r="K140" s="16" t="n"/>
      <c r="L140" s="17">
        <f>IF(OR(C140="Epic",J140=""),"",MAX(0,J140-N(K140)))</f>
        <v/>
      </c>
      <c r="M140" s="18" t="n"/>
      <c r="N140" s="19">
        <f>IF(OR(L140="",M140=""),"",L140*M140)</f>
        <v/>
      </c>
      <c r="O140" s="15" t="n"/>
      <c r="P140" s="16" t="n"/>
      <c r="Q140" s="20" t="n"/>
      <c r="R140" s="21">
        <f>IF(OR(B140="",C140="Epic"),"",IF(Q140="",Settings!$B$3,Q140))</f>
        <v/>
      </c>
      <c r="S140" s="21">
        <f>IF(OR(R140="",P140="",N(L140)=0),"",R140-P140-Settings!$B$4)</f>
        <v/>
      </c>
      <c r="T140" s="17">
        <f>IF(S140="","",S140-TODAY())</f>
        <v/>
      </c>
      <c r="U140" s="14">
        <f>IF(OR(B140="",C140="Epic"),"",IF(N(L140)=0,IF(J140="","","ON HAND"),IF(OR(O140="Ordered",O140="Shipped",O140="Received"),O140,IF(S140="","NEED LEAD TIME",IF(T140&lt;0,"OVERDUE",IF(T140&lt;=Settings!$B$5,"ORDER SOON","OK"))))))</f>
        <v/>
      </c>
      <c r="V140" s="15" t="n"/>
    </row>
    <row r="141">
      <c r="A141" s="14">
        <f>IF(B141="","",IF(C141="Epic",IFERROR(INDEX(Lists!$A:$A,MATCH(B141,Lists!$B:$B,0)),"?"),1000+ROW()))</f>
        <v/>
      </c>
      <c r="B141" s="15" t="n"/>
      <c r="C141" s="15" t="n"/>
      <c r="D141" s="15" t="n"/>
      <c r="E141" s="14">
        <f>IF(OR(C141="Epic",D141=""),"",IFERROR(INDEX(Lists!$A:$A,MATCH(D141,Lists!$B:$B,0)),""))</f>
        <v/>
      </c>
      <c r="F141" s="15" t="n"/>
      <c r="G141" s="15" t="n"/>
      <c r="H141" s="15" t="n"/>
      <c r="I141" s="15" t="n"/>
      <c r="J141" s="16" t="n"/>
      <c r="K141" s="16" t="n"/>
      <c r="L141" s="17">
        <f>IF(OR(C141="Epic",J141=""),"",MAX(0,J141-N(K141)))</f>
        <v/>
      </c>
      <c r="M141" s="18" t="n"/>
      <c r="N141" s="19">
        <f>IF(OR(L141="",M141=""),"",L141*M141)</f>
        <v/>
      </c>
      <c r="O141" s="15" t="n"/>
      <c r="P141" s="16" t="n"/>
      <c r="Q141" s="20" t="n"/>
      <c r="R141" s="21">
        <f>IF(OR(B141="",C141="Epic"),"",IF(Q141="",Settings!$B$3,Q141))</f>
        <v/>
      </c>
      <c r="S141" s="21">
        <f>IF(OR(R141="",P141="",N(L141)=0),"",R141-P141-Settings!$B$4)</f>
        <v/>
      </c>
      <c r="T141" s="17">
        <f>IF(S141="","",S141-TODAY())</f>
        <v/>
      </c>
      <c r="U141" s="14">
        <f>IF(OR(B141="",C141="Epic"),"",IF(N(L141)=0,IF(J141="","","ON HAND"),IF(OR(O141="Ordered",O141="Shipped",O141="Received"),O141,IF(S141="","NEED LEAD TIME",IF(T141&lt;0,"OVERDUE",IF(T141&lt;=Settings!$B$5,"ORDER SOON","OK"))))))</f>
        <v/>
      </c>
      <c r="V141" s="15" t="n"/>
    </row>
    <row r="142">
      <c r="A142" s="14">
        <f>IF(B142="","",IF(C142="Epic",IFERROR(INDEX(Lists!$A:$A,MATCH(B142,Lists!$B:$B,0)),"?"),1000+ROW()))</f>
        <v/>
      </c>
      <c r="B142" s="15" t="n"/>
      <c r="C142" s="15" t="n"/>
      <c r="D142" s="15" t="n"/>
      <c r="E142" s="14">
        <f>IF(OR(C142="Epic",D142=""),"",IFERROR(INDEX(Lists!$A:$A,MATCH(D142,Lists!$B:$B,0)),""))</f>
        <v/>
      </c>
      <c r="F142" s="15" t="n"/>
      <c r="G142" s="15" t="n"/>
      <c r="H142" s="15" t="n"/>
      <c r="I142" s="15" t="n"/>
      <c r="J142" s="16" t="n"/>
      <c r="K142" s="16" t="n"/>
      <c r="L142" s="17">
        <f>IF(OR(C142="Epic",J142=""),"",MAX(0,J142-N(K142)))</f>
        <v/>
      </c>
      <c r="M142" s="18" t="n"/>
      <c r="N142" s="19">
        <f>IF(OR(L142="",M142=""),"",L142*M142)</f>
        <v/>
      </c>
      <c r="O142" s="15" t="n"/>
      <c r="P142" s="16" t="n"/>
      <c r="Q142" s="20" t="n"/>
      <c r="R142" s="21">
        <f>IF(OR(B142="",C142="Epic"),"",IF(Q142="",Settings!$B$3,Q142))</f>
        <v/>
      </c>
      <c r="S142" s="21">
        <f>IF(OR(R142="",P142="",N(L142)=0),"",R142-P142-Settings!$B$4)</f>
        <v/>
      </c>
      <c r="T142" s="17">
        <f>IF(S142="","",S142-TODAY())</f>
        <v/>
      </c>
      <c r="U142" s="14">
        <f>IF(OR(B142="",C142="Epic"),"",IF(N(L142)=0,IF(J142="","","ON HAND"),IF(OR(O142="Ordered",O142="Shipped",O142="Received"),O142,IF(S142="","NEED LEAD TIME",IF(T142&lt;0,"OVERDUE",IF(T142&lt;=Settings!$B$5,"ORDER SOON","OK"))))))</f>
        <v/>
      </c>
      <c r="V142" s="15" t="n"/>
    </row>
    <row r="143">
      <c r="A143" s="14">
        <f>IF(B143="","",IF(C143="Epic",IFERROR(INDEX(Lists!$A:$A,MATCH(B143,Lists!$B:$B,0)),"?"),1000+ROW()))</f>
        <v/>
      </c>
      <c r="B143" s="15" t="n"/>
      <c r="C143" s="15" t="n"/>
      <c r="D143" s="15" t="n"/>
      <c r="E143" s="14">
        <f>IF(OR(C143="Epic",D143=""),"",IFERROR(INDEX(Lists!$A:$A,MATCH(D143,Lists!$B:$B,0)),""))</f>
        <v/>
      </c>
      <c r="F143" s="15" t="n"/>
      <c r="G143" s="15" t="n"/>
      <c r="H143" s="15" t="n"/>
      <c r="I143" s="15" t="n"/>
      <c r="J143" s="16" t="n"/>
      <c r="K143" s="16" t="n"/>
      <c r="L143" s="17">
        <f>IF(OR(C143="Epic",J143=""),"",MAX(0,J143-N(K143)))</f>
        <v/>
      </c>
      <c r="M143" s="18" t="n"/>
      <c r="N143" s="19">
        <f>IF(OR(L143="",M143=""),"",L143*M143)</f>
        <v/>
      </c>
      <c r="O143" s="15" t="n"/>
      <c r="P143" s="16" t="n"/>
      <c r="Q143" s="20" t="n"/>
      <c r="R143" s="21">
        <f>IF(OR(B143="",C143="Epic"),"",IF(Q143="",Settings!$B$3,Q143))</f>
        <v/>
      </c>
      <c r="S143" s="21">
        <f>IF(OR(R143="",P143="",N(L143)=0),"",R143-P143-Settings!$B$4)</f>
        <v/>
      </c>
      <c r="T143" s="17">
        <f>IF(S143="","",S143-TODAY())</f>
        <v/>
      </c>
      <c r="U143" s="14">
        <f>IF(OR(B143="",C143="Epic"),"",IF(N(L143)=0,IF(J143="","","ON HAND"),IF(OR(O143="Ordered",O143="Shipped",O143="Received"),O143,IF(S143="","NEED LEAD TIME",IF(T143&lt;0,"OVERDUE",IF(T143&lt;=Settings!$B$5,"ORDER SOON","OK"))))))</f>
        <v/>
      </c>
      <c r="V143" s="15" t="n"/>
    </row>
    <row r="144">
      <c r="A144" s="14">
        <f>IF(B144="","",IF(C144="Epic",IFERROR(INDEX(Lists!$A:$A,MATCH(B144,Lists!$B:$B,0)),"?"),1000+ROW()))</f>
        <v/>
      </c>
      <c r="B144" s="15" t="n"/>
      <c r="C144" s="15" t="n"/>
      <c r="D144" s="15" t="n"/>
      <c r="E144" s="14">
        <f>IF(OR(C144="Epic",D144=""),"",IFERROR(INDEX(Lists!$A:$A,MATCH(D144,Lists!$B:$B,0)),""))</f>
        <v/>
      </c>
      <c r="F144" s="15" t="n"/>
      <c r="G144" s="15" t="n"/>
      <c r="H144" s="15" t="n"/>
      <c r="I144" s="15" t="n"/>
      <c r="J144" s="16" t="n"/>
      <c r="K144" s="16" t="n"/>
      <c r="L144" s="17">
        <f>IF(OR(C144="Epic",J144=""),"",MAX(0,J144-N(K144)))</f>
        <v/>
      </c>
      <c r="M144" s="18" t="n"/>
      <c r="N144" s="19">
        <f>IF(OR(L144="",M144=""),"",L144*M144)</f>
        <v/>
      </c>
      <c r="O144" s="15" t="n"/>
      <c r="P144" s="16" t="n"/>
      <c r="Q144" s="20" t="n"/>
      <c r="R144" s="21">
        <f>IF(OR(B144="",C144="Epic"),"",IF(Q144="",Settings!$B$3,Q144))</f>
        <v/>
      </c>
      <c r="S144" s="21">
        <f>IF(OR(R144="",P144="",N(L144)=0),"",R144-P144-Settings!$B$4)</f>
        <v/>
      </c>
      <c r="T144" s="17">
        <f>IF(S144="","",S144-TODAY())</f>
        <v/>
      </c>
      <c r="U144" s="14">
        <f>IF(OR(B144="",C144="Epic"),"",IF(N(L144)=0,IF(J144="","","ON HAND"),IF(OR(O144="Ordered",O144="Shipped",O144="Received"),O144,IF(S144="","NEED LEAD TIME",IF(T144&lt;0,"OVERDUE",IF(T144&lt;=Settings!$B$5,"ORDER SOON","OK"))))))</f>
        <v/>
      </c>
      <c r="V144" s="15" t="n"/>
    </row>
    <row r="145">
      <c r="A145" s="14">
        <f>IF(B145="","",IF(C145="Epic",IFERROR(INDEX(Lists!$A:$A,MATCH(B145,Lists!$B:$B,0)),"?"),1000+ROW()))</f>
        <v/>
      </c>
      <c r="B145" s="15" t="n"/>
      <c r="C145" s="15" t="n"/>
      <c r="D145" s="15" t="n"/>
      <c r="E145" s="14">
        <f>IF(OR(C145="Epic",D145=""),"",IFERROR(INDEX(Lists!$A:$A,MATCH(D145,Lists!$B:$B,0)),""))</f>
        <v/>
      </c>
      <c r="F145" s="15" t="n"/>
      <c r="G145" s="15" t="n"/>
      <c r="H145" s="15" t="n"/>
      <c r="I145" s="15" t="n"/>
      <c r="J145" s="16" t="n"/>
      <c r="K145" s="16" t="n"/>
      <c r="L145" s="17">
        <f>IF(OR(C145="Epic",J145=""),"",MAX(0,J145-N(K145)))</f>
        <v/>
      </c>
      <c r="M145" s="18" t="n"/>
      <c r="N145" s="19">
        <f>IF(OR(L145="",M145=""),"",L145*M145)</f>
        <v/>
      </c>
      <c r="O145" s="15" t="n"/>
      <c r="P145" s="16" t="n"/>
      <c r="Q145" s="20" t="n"/>
      <c r="R145" s="21">
        <f>IF(OR(B145="",C145="Epic"),"",IF(Q145="",Settings!$B$3,Q145))</f>
        <v/>
      </c>
      <c r="S145" s="21">
        <f>IF(OR(R145="",P145="",N(L145)=0),"",R145-P145-Settings!$B$4)</f>
        <v/>
      </c>
      <c r="T145" s="17">
        <f>IF(S145="","",S145-TODAY())</f>
        <v/>
      </c>
      <c r="U145" s="14">
        <f>IF(OR(B145="",C145="Epic"),"",IF(N(L145)=0,IF(J145="","","ON HAND"),IF(OR(O145="Ordered",O145="Shipped",O145="Received"),O145,IF(S145="","NEED LEAD TIME",IF(T145&lt;0,"OVERDUE",IF(T145&lt;=Settings!$B$5,"ORDER SOON","OK"))))))</f>
        <v/>
      </c>
      <c r="V145" s="15" t="n"/>
    </row>
    <row r="146">
      <c r="A146" s="14">
        <f>IF(B146="","",IF(C146="Epic",IFERROR(INDEX(Lists!$A:$A,MATCH(B146,Lists!$B:$B,0)),"?"),1000+ROW()))</f>
        <v/>
      </c>
      <c r="B146" s="15" t="n"/>
      <c r="C146" s="15" t="n"/>
      <c r="D146" s="15" t="n"/>
      <c r="E146" s="14">
        <f>IF(OR(C146="Epic",D146=""),"",IFERROR(INDEX(Lists!$A:$A,MATCH(D146,Lists!$B:$B,0)),""))</f>
        <v/>
      </c>
      <c r="F146" s="15" t="n"/>
      <c r="G146" s="15" t="n"/>
      <c r="H146" s="15" t="n"/>
      <c r="I146" s="15" t="n"/>
      <c r="J146" s="16" t="n"/>
      <c r="K146" s="16" t="n"/>
      <c r="L146" s="17">
        <f>IF(OR(C146="Epic",J146=""),"",MAX(0,J146-N(K146)))</f>
        <v/>
      </c>
      <c r="M146" s="18" t="n"/>
      <c r="N146" s="19">
        <f>IF(OR(L146="",M146=""),"",L146*M146)</f>
        <v/>
      </c>
      <c r="O146" s="15" t="n"/>
      <c r="P146" s="16" t="n"/>
      <c r="Q146" s="20" t="n"/>
      <c r="R146" s="21">
        <f>IF(OR(B146="",C146="Epic"),"",IF(Q146="",Settings!$B$3,Q146))</f>
        <v/>
      </c>
      <c r="S146" s="21">
        <f>IF(OR(R146="",P146="",N(L146)=0),"",R146-P146-Settings!$B$4)</f>
        <v/>
      </c>
      <c r="T146" s="17">
        <f>IF(S146="","",S146-TODAY())</f>
        <v/>
      </c>
      <c r="U146" s="14">
        <f>IF(OR(B146="",C146="Epic"),"",IF(N(L146)=0,IF(J146="","","ON HAND"),IF(OR(O146="Ordered",O146="Shipped",O146="Received"),O146,IF(S146="","NEED LEAD TIME",IF(T146&lt;0,"OVERDUE",IF(T146&lt;=Settings!$B$5,"ORDER SOON","OK"))))))</f>
        <v/>
      </c>
      <c r="V146" s="15" t="n"/>
    </row>
    <row r="147">
      <c r="A147" s="14">
        <f>IF(B147="","",IF(C147="Epic",IFERROR(INDEX(Lists!$A:$A,MATCH(B147,Lists!$B:$B,0)),"?"),1000+ROW()))</f>
        <v/>
      </c>
      <c r="B147" s="15" t="n"/>
      <c r="C147" s="15" t="n"/>
      <c r="D147" s="15" t="n"/>
      <c r="E147" s="14">
        <f>IF(OR(C147="Epic",D147=""),"",IFERROR(INDEX(Lists!$A:$A,MATCH(D147,Lists!$B:$B,0)),""))</f>
        <v/>
      </c>
      <c r="F147" s="15" t="n"/>
      <c r="G147" s="15" t="n"/>
      <c r="H147" s="15" t="n"/>
      <c r="I147" s="15" t="n"/>
      <c r="J147" s="16" t="n"/>
      <c r="K147" s="16" t="n"/>
      <c r="L147" s="17">
        <f>IF(OR(C147="Epic",J147=""),"",MAX(0,J147-N(K147)))</f>
        <v/>
      </c>
      <c r="M147" s="18" t="n"/>
      <c r="N147" s="19">
        <f>IF(OR(L147="",M147=""),"",L147*M147)</f>
        <v/>
      </c>
      <c r="O147" s="15" t="n"/>
      <c r="P147" s="16" t="n"/>
      <c r="Q147" s="20" t="n"/>
      <c r="R147" s="21">
        <f>IF(OR(B147="",C147="Epic"),"",IF(Q147="",Settings!$B$3,Q147))</f>
        <v/>
      </c>
      <c r="S147" s="21">
        <f>IF(OR(R147="",P147="",N(L147)=0),"",R147-P147-Settings!$B$4)</f>
        <v/>
      </c>
      <c r="T147" s="17">
        <f>IF(S147="","",S147-TODAY())</f>
        <v/>
      </c>
      <c r="U147" s="14">
        <f>IF(OR(B147="",C147="Epic"),"",IF(N(L147)=0,IF(J147="","","ON HAND"),IF(OR(O147="Ordered",O147="Shipped",O147="Received"),O147,IF(S147="","NEED LEAD TIME",IF(T147&lt;0,"OVERDUE",IF(T147&lt;=Settings!$B$5,"ORDER SOON","OK"))))))</f>
        <v/>
      </c>
      <c r="V147" s="15" t="n"/>
    </row>
    <row r="148">
      <c r="A148" s="14">
        <f>IF(B148="","",IF(C148="Epic",IFERROR(INDEX(Lists!$A:$A,MATCH(B148,Lists!$B:$B,0)),"?"),1000+ROW()))</f>
        <v/>
      </c>
      <c r="B148" s="15" t="n"/>
      <c r="C148" s="15" t="n"/>
      <c r="D148" s="15" t="n"/>
      <c r="E148" s="14">
        <f>IF(OR(C148="Epic",D148=""),"",IFERROR(INDEX(Lists!$A:$A,MATCH(D148,Lists!$B:$B,0)),""))</f>
        <v/>
      </c>
      <c r="F148" s="15" t="n"/>
      <c r="G148" s="15" t="n"/>
      <c r="H148" s="15" t="n"/>
      <c r="I148" s="15" t="n"/>
      <c r="J148" s="16" t="n"/>
      <c r="K148" s="16" t="n"/>
      <c r="L148" s="17">
        <f>IF(OR(C148="Epic",J148=""),"",MAX(0,J148-N(K148)))</f>
        <v/>
      </c>
      <c r="M148" s="18" t="n"/>
      <c r="N148" s="19">
        <f>IF(OR(L148="",M148=""),"",L148*M148)</f>
        <v/>
      </c>
      <c r="O148" s="15" t="n"/>
      <c r="P148" s="16" t="n"/>
      <c r="Q148" s="20" t="n"/>
      <c r="R148" s="21">
        <f>IF(OR(B148="",C148="Epic"),"",IF(Q148="",Settings!$B$3,Q148))</f>
        <v/>
      </c>
      <c r="S148" s="21">
        <f>IF(OR(R148="",P148="",N(L148)=0),"",R148-P148-Settings!$B$4)</f>
        <v/>
      </c>
      <c r="T148" s="17">
        <f>IF(S148="","",S148-TODAY())</f>
        <v/>
      </c>
      <c r="U148" s="14">
        <f>IF(OR(B148="",C148="Epic"),"",IF(N(L148)=0,IF(J148="","","ON HAND"),IF(OR(O148="Ordered",O148="Shipped",O148="Received"),O148,IF(S148="","NEED LEAD TIME",IF(T148&lt;0,"OVERDUE",IF(T148&lt;=Settings!$B$5,"ORDER SOON","OK"))))))</f>
        <v/>
      </c>
      <c r="V148" s="15" t="n"/>
    </row>
    <row r="149">
      <c r="A149" s="14">
        <f>IF(B149="","",IF(C149="Epic",IFERROR(INDEX(Lists!$A:$A,MATCH(B149,Lists!$B:$B,0)),"?"),1000+ROW()))</f>
        <v/>
      </c>
      <c r="B149" s="15" t="n"/>
      <c r="C149" s="15" t="n"/>
      <c r="D149" s="15" t="n"/>
      <c r="E149" s="14">
        <f>IF(OR(C149="Epic",D149=""),"",IFERROR(INDEX(Lists!$A:$A,MATCH(D149,Lists!$B:$B,0)),""))</f>
        <v/>
      </c>
      <c r="F149" s="15" t="n"/>
      <c r="G149" s="15" t="n"/>
      <c r="H149" s="15" t="n"/>
      <c r="I149" s="15" t="n"/>
      <c r="J149" s="16" t="n"/>
      <c r="K149" s="16" t="n"/>
      <c r="L149" s="17">
        <f>IF(OR(C149="Epic",J149=""),"",MAX(0,J149-N(K149)))</f>
        <v/>
      </c>
      <c r="M149" s="18" t="n"/>
      <c r="N149" s="19">
        <f>IF(OR(L149="",M149=""),"",L149*M149)</f>
        <v/>
      </c>
      <c r="O149" s="15" t="n"/>
      <c r="P149" s="16" t="n"/>
      <c r="Q149" s="20" t="n"/>
      <c r="R149" s="21">
        <f>IF(OR(B149="",C149="Epic"),"",IF(Q149="",Settings!$B$3,Q149))</f>
        <v/>
      </c>
      <c r="S149" s="21">
        <f>IF(OR(R149="",P149="",N(L149)=0),"",R149-P149-Settings!$B$4)</f>
        <v/>
      </c>
      <c r="T149" s="17">
        <f>IF(S149="","",S149-TODAY())</f>
        <v/>
      </c>
      <c r="U149" s="14">
        <f>IF(OR(B149="",C149="Epic"),"",IF(N(L149)=0,IF(J149="","","ON HAND"),IF(OR(O149="Ordered",O149="Shipped",O149="Received"),O149,IF(S149="","NEED LEAD TIME",IF(T149&lt;0,"OVERDUE",IF(T149&lt;=Settings!$B$5,"ORDER SOON","OK"))))))</f>
        <v/>
      </c>
      <c r="V149" s="15" t="n"/>
    </row>
    <row r="150">
      <c r="A150" s="14">
        <f>IF(B150="","",IF(C150="Epic",IFERROR(INDEX(Lists!$A:$A,MATCH(B150,Lists!$B:$B,0)),"?"),1000+ROW()))</f>
        <v/>
      </c>
      <c r="B150" s="15" t="n"/>
      <c r="C150" s="15" t="n"/>
      <c r="D150" s="15" t="n"/>
      <c r="E150" s="14">
        <f>IF(OR(C150="Epic",D150=""),"",IFERROR(INDEX(Lists!$A:$A,MATCH(D150,Lists!$B:$B,0)),""))</f>
        <v/>
      </c>
      <c r="F150" s="15" t="n"/>
      <c r="G150" s="15" t="n"/>
      <c r="H150" s="15" t="n"/>
      <c r="I150" s="15" t="n"/>
      <c r="J150" s="16" t="n"/>
      <c r="K150" s="16" t="n"/>
      <c r="L150" s="17">
        <f>IF(OR(C150="Epic",J150=""),"",MAX(0,J150-N(K150)))</f>
        <v/>
      </c>
      <c r="M150" s="18" t="n"/>
      <c r="N150" s="19">
        <f>IF(OR(L150="",M150=""),"",L150*M150)</f>
        <v/>
      </c>
      <c r="O150" s="15" t="n"/>
      <c r="P150" s="16" t="n"/>
      <c r="Q150" s="20" t="n"/>
      <c r="R150" s="21">
        <f>IF(OR(B150="",C150="Epic"),"",IF(Q150="",Settings!$B$3,Q150))</f>
        <v/>
      </c>
      <c r="S150" s="21">
        <f>IF(OR(R150="",P150="",N(L150)=0),"",R150-P150-Settings!$B$4)</f>
        <v/>
      </c>
      <c r="T150" s="17">
        <f>IF(S150="","",S150-TODAY())</f>
        <v/>
      </c>
      <c r="U150" s="14">
        <f>IF(OR(B150="",C150="Epic"),"",IF(N(L150)=0,IF(J150="","","ON HAND"),IF(OR(O150="Ordered",O150="Shipped",O150="Received"),O150,IF(S150="","NEED LEAD TIME",IF(T150&lt;0,"OVERDUE",IF(T150&lt;=Settings!$B$5,"ORDER SOON","OK"))))))</f>
        <v/>
      </c>
      <c r="V150" s="15" t="n"/>
    </row>
    <row r="151">
      <c r="A151" s="14">
        <f>IF(B151="","",IF(C151="Epic",IFERROR(INDEX(Lists!$A:$A,MATCH(B151,Lists!$B:$B,0)),"?"),1000+ROW()))</f>
        <v/>
      </c>
      <c r="B151" s="15" t="n"/>
      <c r="C151" s="15" t="n"/>
      <c r="D151" s="15" t="n"/>
      <c r="E151" s="14">
        <f>IF(OR(C151="Epic",D151=""),"",IFERROR(INDEX(Lists!$A:$A,MATCH(D151,Lists!$B:$B,0)),""))</f>
        <v/>
      </c>
      <c r="F151" s="15" t="n"/>
      <c r="G151" s="15" t="n"/>
      <c r="H151" s="15" t="n"/>
      <c r="I151" s="15" t="n"/>
      <c r="J151" s="16" t="n"/>
      <c r="K151" s="16" t="n"/>
      <c r="L151" s="17">
        <f>IF(OR(C151="Epic",J151=""),"",MAX(0,J151-N(K151)))</f>
        <v/>
      </c>
      <c r="M151" s="18" t="n"/>
      <c r="N151" s="19">
        <f>IF(OR(L151="",M151=""),"",L151*M151)</f>
        <v/>
      </c>
      <c r="O151" s="15" t="n"/>
      <c r="P151" s="16" t="n"/>
      <c r="Q151" s="20" t="n"/>
      <c r="R151" s="21">
        <f>IF(OR(B151="",C151="Epic"),"",IF(Q151="",Settings!$B$3,Q151))</f>
        <v/>
      </c>
      <c r="S151" s="21">
        <f>IF(OR(R151="",P151="",N(L151)=0),"",R151-P151-Settings!$B$4)</f>
        <v/>
      </c>
      <c r="T151" s="17">
        <f>IF(S151="","",S151-TODAY())</f>
        <v/>
      </c>
      <c r="U151" s="14">
        <f>IF(OR(B151="",C151="Epic"),"",IF(N(L151)=0,IF(J151="","","ON HAND"),IF(OR(O151="Ordered",O151="Shipped",O151="Received"),O151,IF(S151="","NEED LEAD TIME",IF(T151&lt;0,"OVERDUE",IF(T151&lt;=Settings!$B$5,"ORDER SOON","OK"))))))</f>
        <v/>
      </c>
      <c r="V151" s="15" t="n"/>
    </row>
    <row r="152">
      <c r="A152" s="14">
        <f>IF(B152="","",IF(C152="Epic",IFERROR(INDEX(Lists!$A:$A,MATCH(B152,Lists!$B:$B,0)),"?"),1000+ROW()))</f>
        <v/>
      </c>
      <c r="B152" s="15" t="n"/>
      <c r="C152" s="15" t="n"/>
      <c r="D152" s="15" t="n"/>
      <c r="E152" s="14">
        <f>IF(OR(C152="Epic",D152=""),"",IFERROR(INDEX(Lists!$A:$A,MATCH(D152,Lists!$B:$B,0)),""))</f>
        <v/>
      </c>
      <c r="F152" s="15" t="n"/>
      <c r="G152" s="15" t="n"/>
      <c r="H152" s="15" t="n"/>
      <c r="I152" s="15" t="n"/>
      <c r="J152" s="16" t="n"/>
      <c r="K152" s="16" t="n"/>
      <c r="L152" s="17">
        <f>IF(OR(C152="Epic",J152=""),"",MAX(0,J152-N(K152)))</f>
        <v/>
      </c>
      <c r="M152" s="18" t="n"/>
      <c r="N152" s="19">
        <f>IF(OR(L152="",M152=""),"",L152*M152)</f>
        <v/>
      </c>
      <c r="O152" s="15" t="n"/>
      <c r="P152" s="16" t="n"/>
      <c r="Q152" s="20" t="n"/>
      <c r="R152" s="21">
        <f>IF(OR(B152="",C152="Epic"),"",IF(Q152="",Settings!$B$3,Q152))</f>
        <v/>
      </c>
      <c r="S152" s="21">
        <f>IF(OR(R152="",P152="",N(L152)=0),"",R152-P152-Settings!$B$4)</f>
        <v/>
      </c>
      <c r="T152" s="17">
        <f>IF(S152="","",S152-TODAY())</f>
        <v/>
      </c>
      <c r="U152" s="14">
        <f>IF(OR(B152="",C152="Epic"),"",IF(N(L152)=0,IF(J152="","","ON HAND"),IF(OR(O152="Ordered",O152="Shipped",O152="Received"),O152,IF(S152="","NEED LEAD TIME",IF(T152&lt;0,"OVERDUE",IF(T152&lt;=Settings!$B$5,"ORDER SOON","OK"))))))</f>
        <v/>
      </c>
      <c r="V152" s="15" t="n"/>
    </row>
    <row r="153">
      <c r="A153" s="14">
        <f>IF(B153="","",IF(C153="Epic",IFERROR(INDEX(Lists!$A:$A,MATCH(B153,Lists!$B:$B,0)),"?"),1000+ROW()))</f>
        <v/>
      </c>
      <c r="B153" s="15" t="n"/>
      <c r="C153" s="15" t="n"/>
      <c r="D153" s="15" t="n"/>
      <c r="E153" s="14">
        <f>IF(OR(C153="Epic",D153=""),"",IFERROR(INDEX(Lists!$A:$A,MATCH(D153,Lists!$B:$B,0)),""))</f>
        <v/>
      </c>
      <c r="F153" s="15" t="n"/>
      <c r="G153" s="15" t="n"/>
      <c r="H153" s="15" t="n"/>
      <c r="I153" s="15" t="n"/>
      <c r="J153" s="16" t="n"/>
      <c r="K153" s="16" t="n"/>
      <c r="L153" s="17">
        <f>IF(OR(C153="Epic",J153=""),"",MAX(0,J153-N(K153)))</f>
        <v/>
      </c>
      <c r="M153" s="18" t="n"/>
      <c r="N153" s="19">
        <f>IF(OR(L153="",M153=""),"",L153*M153)</f>
        <v/>
      </c>
      <c r="O153" s="15" t="n"/>
      <c r="P153" s="16" t="n"/>
      <c r="Q153" s="20" t="n"/>
      <c r="R153" s="21">
        <f>IF(OR(B153="",C153="Epic"),"",IF(Q153="",Settings!$B$3,Q153))</f>
        <v/>
      </c>
      <c r="S153" s="21">
        <f>IF(OR(R153="",P153="",N(L153)=0),"",R153-P153-Settings!$B$4)</f>
        <v/>
      </c>
      <c r="T153" s="17">
        <f>IF(S153="","",S153-TODAY())</f>
        <v/>
      </c>
      <c r="U153" s="14">
        <f>IF(OR(B153="",C153="Epic"),"",IF(N(L153)=0,IF(J153="","","ON HAND"),IF(OR(O153="Ordered",O153="Shipped",O153="Received"),O153,IF(S153="","NEED LEAD TIME",IF(T153&lt;0,"OVERDUE",IF(T153&lt;=Settings!$B$5,"ORDER SOON","OK"))))))</f>
        <v/>
      </c>
      <c r="V153" s="15" t="n"/>
    </row>
    <row r="154">
      <c r="A154" s="14">
        <f>IF(B154="","",IF(C154="Epic",IFERROR(INDEX(Lists!$A:$A,MATCH(B154,Lists!$B:$B,0)),"?"),1000+ROW()))</f>
        <v/>
      </c>
      <c r="B154" s="15" t="n"/>
      <c r="C154" s="15" t="n"/>
      <c r="D154" s="15" t="n"/>
      <c r="E154" s="14">
        <f>IF(OR(C154="Epic",D154=""),"",IFERROR(INDEX(Lists!$A:$A,MATCH(D154,Lists!$B:$B,0)),""))</f>
        <v/>
      </c>
      <c r="F154" s="15" t="n"/>
      <c r="G154" s="15" t="n"/>
      <c r="H154" s="15" t="n"/>
      <c r="I154" s="15" t="n"/>
      <c r="J154" s="16" t="n"/>
      <c r="K154" s="16" t="n"/>
      <c r="L154" s="17">
        <f>IF(OR(C154="Epic",J154=""),"",MAX(0,J154-N(K154)))</f>
        <v/>
      </c>
      <c r="M154" s="18" t="n"/>
      <c r="N154" s="19">
        <f>IF(OR(L154="",M154=""),"",L154*M154)</f>
        <v/>
      </c>
      <c r="O154" s="15" t="n"/>
      <c r="P154" s="16" t="n"/>
      <c r="Q154" s="20" t="n"/>
      <c r="R154" s="21">
        <f>IF(OR(B154="",C154="Epic"),"",IF(Q154="",Settings!$B$3,Q154))</f>
        <v/>
      </c>
      <c r="S154" s="21">
        <f>IF(OR(R154="",P154="",N(L154)=0),"",R154-P154-Settings!$B$4)</f>
        <v/>
      </c>
      <c r="T154" s="17">
        <f>IF(S154="","",S154-TODAY())</f>
        <v/>
      </c>
      <c r="U154" s="14">
        <f>IF(OR(B154="",C154="Epic"),"",IF(N(L154)=0,IF(J154="","","ON HAND"),IF(OR(O154="Ordered",O154="Shipped",O154="Received"),O154,IF(S154="","NEED LEAD TIME",IF(T154&lt;0,"OVERDUE",IF(T154&lt;=Settings!$B$5,"ORDER SOON","OK"))))))</f>
        <v/>
      </c>
      <c r="V154" s="15" t="n"/>
    </row>
    <row r="155">
      <c r="A155" s="14">
        <f>IF(B155="","",IF(C155="Epic",IFERROR(INDEX(Lists!$A:$A,MATCH(B155,Lists!$B:$B,0)),"?"),1000+ROW()))</f>
        <v/>
      </c>
      <c r="B155" s="15" t="n"/>
      <c r="C155" s="15" t="n"/>
      <c r="D155" s="15" t="n"/>
      <c r="E155" s="14">
        <f>IF(OR(C155="Epic",D155=""),"",IFERROR(INDEX(Lists!$A:$A,MATCH(D155,Lists!$B:$B,0)),""))</f>
        <v/>
      </c>
      <c r="F155" s="15" t="n"/>
      <c r="G155" s="15" t="n"/>
      <c r="H155" s="15" t="n"/>
      <c r="I155" s="15" t="n"/>
      <c r="J155" s="16" t="n"/>
      <c r="K155" s="16" t="n"/>
      <c r="L155" s="17">
        <f>IF(OR(C155="Epic",J155=""),"",MAX(0,J155-N(K155)))</f>
        <v/>
      </c>
      <c r="M155" s="18" t="n"/>
      <c r="N155" s="19">
        <f>IF(OR(L155="",M155=""),"",L155*M155)</f>
        <v/>
      </c>
      <c r="O155" s="15" t="n"/>
      <c r="P155" s="16" t="n"/>
      <c r="Q155" s="20" t="n"/>
      <c r="R155" s="21">
        <f>IF(OR(B155="",C155="Epic"),"",IF(Q155="",Settings!$B$3,Q155))</f>
        <v/>
      </c>
      <c r="S155" s="21">
        <f>IF(OR(R155="",P155="",N(L155)=0),"",R155-P155-Settings!$B$4)</f>
        <v/>
      </c>
      <c r="T155" s="17">
        <f>IF(S155="","",S155-TODAY())</f>
        <v/>
      </c>
      <c r="U155" s="14">
        <f>IF(OR(B155="",C155="Epic"),"",IF(N(L155)=0,IF(J155="","","ON HAND"),IF(OR(O155="Ordered",O155="Shipped",O155="Received"),O155,IF(S155="","NEED LEAD TIME",IF(T155&lt;0,"OVERDUE",IF(T155&lt;=Settings!$B$5,"ORDER SOON","OK"))))))</f>
        <v/>
      </c>
      <c r="V155" s="15" t="n"/>
    </row>
    <row r="156">
      <c r="A156" s="14">
        <f>IF(B156="","",IF(C156="Epic",IFERROR(INDEX(Lists!$A:$A,MATCH(B156,Lists!$B:$B,0)),"?"),1000+ROW()))</f>
        <v/>
      </c>
      <c r="B156" s="15" t="n"/>
      <c r="C156" s="15" t="n"/>
      <c r="D156" s="15" t="n"/>
      <c r="E156" s="14">
        <f>IF(OR(C156="Epic",D156=""),"",IFERROR(INDEX(Lists!$A:$A,MATCH(D156,Lists!$B:$B,0)),""))</f>
        <v/>
      </c>
      <c r="F156" s="15" t="n"/>
      <c r="G156" s="15" t="n"/>
      <c r="H156" s="15" t="n"/>
      <c r="I156" s="15" t="n"/>
      <c r="J156" s="16" t="n"/>
      <c r="K156" s="16" t="n"/>
      <c r="L156" s="17">
        <f>IF(OR(C156="Epic",J156=""),"",MAX(0,J156-N(K156)))</f>
        <v/>
      </c>
      <c r="M156" s="18" t="n"/>
      <c r="N156" s="19">
        <f>IF(OR(L156="",M156=""),"",L156*M156)</f>
        <v/>
      </c>
      <c r="O156" s="15" t="n"/>
      <c r="P156" s="16" t="n"/>
      <c r="Q156" s="20" t="n"/>
      <c r="R156" s="21">
        <f>IF(OR(B156="",C156="Epic"),"",IF(Q156="",Settings!$B$3,Q156))</f>
        <v/>
      </c>
      <c r="S156" s="21">
        <f>IF(OR(R156="",P156="",N(L156)=0),"",R156-P156-Settings!$B$4)</f>
        <v/>
      </c>
      <c r="T156" s="17">
        <f>IF(S156="","",S156-TODAY())</f>
        <v/>
      </c>
      <c r="U156" s="14">
        <f>IF(OR(B156="",C156="Epic"),"",IF(N(L156)=0,IF(J156="","","ON HAND"),IF(OR(O156="Ordered",O156="Shipped",O156="Received"),O156,IF(S156="","NEED LEAD TIME",IF(T156&lt;0,"OVERDUE",IF(T156&lt;=Settings!$B$5,"ORDER SOON","OK"))))))</f>
        <v/>
      </c>
      <c r="V156" s="15" t="n"/>
    </row>
    <row r="157">
      <c r="A157" s="14">
        <f>IF(B157="","",IF(C157="Epic",IFERROR(INDEX(Lists!$A:$A,MATCH(B157,Lists!$B:$B,0)),"?"),1000+ROW()))</f>
        <v/>
      </c>
      <c r="B157" s="15" t="n"/>
      <c r="C157" s="15" t="n"/>
      <c r="D157" s="15" t="n"/>
      <c r="E157" s="14">
        <f>IF(OR(C157="Epic",D157=""),"",IFERROR(INDEX(Lists!$A:$A,MATCH(D157,Lists!$B:$B,0)),""))</f>
        <v/>
      </c>
      <c r="F157" s="15" t="n"/>
      <c r="G157" s="15" t="n"/>
      <c r="H157" s="15" t="n"/>
      <c r="I157" s="15" t="n"/>
      <c r="J157" s="16" t="n"/>
      <c r="K157" s="16" t="n"/>
      <c r="L157" s="17">
        <f>IF(OR(C157="Epic",J157=""),"",MAX(0,J157-N(K157)))</f>
        <v/>
      </c>
      <c r="M157" s="18" t="n"/>
      <c r="N157" s="19">
        <f>IF(OR(L157="",M157=""),"",L157*M157)</f>
        <v/>
      </c>
      <c r="O157" s="15" t="n"/>
      <c r="P157" s="16" t="n"/>
      <c r="Q157" s="20" t="n"/>
      <c r="R157" s="21">
        <f>IF(OR(B157="",C157="Epic"),"",IF(Q157="",Settings!$B$3,Q157))</f>
        <v/>
      </c>
      <c r="S157" s="21">
        <f>IF(OR(R157="",P157="",N(L157)=0),"",R157-P157-Settings!$B$4)</f>
        <v/>
      </c>
      <c r="T157" s="17">
        <f>IF(S157="","",S157-TODAY())</f>
        <v/>
      </c>
      <c r="U157" s="14">
        <f>IF(OR(B157="",C157="Epic"),"",IF(N(L157)=0,IF(J157="","","ON HAND"),IF(OR(O157="Ordered",O157="Shipped",O157="Received"),O157,IF(S157="","NEED LEAD TIME",IF(T157&lt;0,"OVERDUE",IF(T157&lt;=Settings!$B$5,"ORDER SOON","OK"))))))</f>
        <v/>
      </c>
      <c r="V157" s="15" t="n"/>
    </row>
    <row r="158">
      <c r="A158" s="14">
        <f>IF(B158="","",IF(C158="Epic",IFERROR(INDEX(Lists!$A:$A,MATCH(B158,Lists!$B:$B,0)),"?"),1000+ROW()))</f>
        <v/>
      </c>
      <c r="B158" s="15" t="n"/>
      <c r="C158" s="15" t="n"/>
      <c r="D158" s="15" t="n"/>
      <c r="E158" s="14">
        <f>IF(OR(C158="Epic",D158=""),"",IFERROR(INDEX(Lists!$A:$A,MATCH(D158,Lists!$B:$B,0)),""))</f>
        <v/>
      </c>
      <c r="F158" s="15" t="n"/>
      <c r="G158" s="15" t="n"/>
      <c r="H158" s="15" t="n"/>
      <c r="I158" s="15" t="n"/>
      <c r="J158" s="16" t="n"/>
      <c r="K158" s="16" t="n"/>
      <c r="L158" s="17">
        <f>IF(OR(C158="Epic",J158=""),"",MAX(0,J158-N(K158)))</f>
        <v/>
      </c>
      <c r="M158" s="18" t="n"/>
      <c r="N158" s="19">
        <f>IF(OR(L158="",M158=""),"",L158*M158)</f>
        <v/>
      </c>
      <c r="O158" s="15" t="n"/>
      <c r="P158" s="16" t="n"/>
      <c r="Q158" s="20" t="n"/>
      <c r="R158" s="21">
        <f>IF(OR(B158="",C158="Epic"),"",IF(Q158="",Settings!$B$3,Q158))</f>
        <v/>
      </c>
      <c r="S158" s="21">
        <f>IF(OR(R158="",P158="",N(L158)=0),"",R158-P158-Settings!$B$4)</f>
        <v/>
      </c>
      <c r="T158" s="17">
        <f>IF(S158="","",S158-TODAY())</f>
        <v/>
      </c>
      <c r="U158" s="14">
        <f>IF(OR(B158="",C158="Epic"),"",IF(N(L158)=0,IF(J158="","","ON HAND"),IF(OR(O158="Ordered",O158="Shipped",O158="Received"),O158,IF(S158="","NEED LEAD TIME",IF(T158&lt;0,"OVERDUE",IF(T158&lt;=Settings!$B$5,"ORDER SOON","OK"))))))</f>
        <v/>
      </c>
      <c r="V158" s="15" t="n"/>
    </row>
    <row r="159">
      <c r="A159" s="14">
        <f>IF(B159="","",IF(C159="Epic",IFERROR(INDEX(Lists!$A:$A,MATCH(B159,Lists!$B:$B,0)),"?"),1000+ROW()))</f>
        <v/>
      </c>
      <c r="B159" s="15" t="n"/>
      <c r="C159" s="15" t="n"/>
      <c r="D159" s="15" t="n"/>
      <c r="E159" s="14">
        <f>IF(OR(C159="Epic",D159=""),"",IFERROR(INDEX(Lists!$A:$A,MATCH(D159,Lists!$B:$B,0)),""))</f>
        <v/>
      </c>
      <c r="F159" s="15" t="n"/>
      <c r="G159" s="15" t="n"/>
      <c r="H159" s="15" t="n"/>
      <c r="I159" s="15" t="n"/>
      <c r="J159" s="16" t="n"/>
      <c r="K159" s="16" t="n"/>
      <c r="L159" s="17">
        <f>IF(OR(C159="Epic",J159=""),"",MAX(0,J159-N(K159)))</f>
        <v/>
      </c>
      <c r="M159" s="18" t="n"/>
      <c r="N159" s="19">
        <f>IF(OR(L159="",M159=""),"",L159*M159)</f>
        <v/>
      </c>
      <c r="O159" s="15" t="n"/>
      <c r="P159" s="16" t="n"/>
      <c r="Q159" s="20" t="n"/>
      <c r="R159" s="21">
        <f>IF(OR(B159="",C159="Epic"),"",IF(Q159="",Settings!$B$3,Q159))</f>
        <v/>
      </c>
      <c r="S159" s="21">
        <f>IF(OR(R159="",P159="",N(L159)=0),"",R159-P159-Settings!$B$4)</f>
        <v/>
      </c>
      <c r="T159" s="17">
        <f>IF(S159="","",S159-TODAY())</f>
        <v/>
      </c>
      <c r="U159" s="14">
        <f>IF(OR(B159="",C159="Epic"),"",IF(N(L159)=0,IF(J159="","","ON HAND"),IF(OR(O159="Ordered",O159="Shipped",O159="Received"),O159,IF(S159="","NEED LEAD TIME",IF(T159&lt;0,"OVERDUE",IF(T159&lt;=Settings!$B$5,"ORDER SOON","OK"))))))</f>
        <v/>
      </c>
      <c r="V159" s="15" t="n"/>
    </row>
    <row r="160">
      <c r="A160" s="14">
        <f>IF(B160="","",IF(C160="Epic",IFERROR(INDEX(Lists!$A:$A,MATCH(B160,Lists!$B:$B,0)),"?"),1000+ROW()))</f>
        <v/>
      </c>
      <c r="B160" s="15" t="n"/>
      <c r="C160" s="15" t="n"/>
      <c r="D160" s="15" t="n"/>
      <c r="E160" s="14">
        <f>IF(OR(C160="Epic",D160=""),"",IFERROR(INDEX(Lists!$A:$A,MATCH(D160,Lists!$B:$B,0)),""))</f>
        <v/>
      </c>
      <c r="F160" s="15" t="n"/>
      <c r="G160" s="15" t="n"/>
      <c r="H160" s="15" t="n"/>
      <c r="I160" s="15" t="n"/>
      <c r="J160" s="16" t="n"/>
      <c r="K160" s="16" t="n"/>
      <c r="L160" s="17">
        <f>IF(OR(C160="Epic",J160=""),"",MAX(0,J160-N(K160)))</f>
        <v/>
      </c>
      <c r="M160" s="18" t="n"/>
      <c r="N160" s="19">
        <f>IF(OR(L160="",M160=""),"",L160*M160)</f>
        <v/>
      </c>
      <c r="O160" s="15" t="n"/>
      <c r="P160" s="16" t="n"/>
      <c r="Q160" s="20" t="n"/>
      <c r="R160" s="21">
        <f>IF(OR(B160="",C160="Epic"),"",IF(Q160="",Settings!$B$3,Q160))</f>
        <v/>
      </c>
      <c r="S160" s="21">
        <f>IF(OR(R160="",P160="",N(L160)=0),"",R160-P160-Settings!$B$4)</f>
        <v/>
      </c>
      <c r="T160" s="17">
        <f>IF(S160="","",S160-TODAY())</f>
        <v/>
      </c>
      <c r="U160" s="14">
        <f>IF(OR(B160="",C160="Epic"),"",IF(N(L160)=0,IF(J160="","","ON HAND"),IF(OR(O160="Ordered",O160="Shipped",O160="Received"),O160,IF(S160="","NEED LEAD TIME",IF(T160&lt;0,"OVERDUE",IF(T160&lt;=Settings!$B$5,"ORDER SOON","OK"))))))</f>
        <v/>
      </c>
      <c r="V160" s="15" t="n"/>
    </row>
    <row r="161">
      <c r="A161" s="14">
        <f>IF(B161="","",IF(C161="Epic",IFERROR(INDEX(Lists!$A:$A,MATCH(B161,Lists!$B:$B,0)),"?"),1000+ROW()))</f>
        <v/>
      </c>
      <c r="B161" s="15" t="n"/>
      <c r="C161" s="15" t="n"/>
      <c r="D161" s="15" t="n"/>
      <c r="E161" s="14">
        <f>IF(OR(C161="Epic",D161=""),"",IFERROR(INDEX(Lists!$A:$A,MATCH(D161,Lists!$B:$B,0)),""))</f>
        <v/>
      </c>
      <c r="F161" s="15" t="n"/>
      <c r="G161" s="15" t="n"/>
      <c r="H161" s="15" t="n"/>
      <c r="I161" s="15" t="n"/>
      <c r="J161" s="16" t="n"/>
      <c r="K161" s="16" t="n"/>
      <c r="L161" s="17">
        <f>IF(OR(C161="Epic",J161=""),"",MAX(0,J161-N(K161)))</f>
        <v/>
      </c>
      <c r="M161" s="18" t="n"/>
      <c r="N161" s="19">
        <f>IF(OR(L161="",M161=""),"",L161*M161)</f>
        <v/>
      </c>
      <c r="O161" s="15" t="n"/>
      <c r="P161" s="16" t="n"/>
      <c r="Q161" s="20" t="n"/>
      <c r="R161" s="21">
        <f>IF(OR(B161="",C161="Epic"),"",IF(Q161="",Settings!$B$3,Q161))</f>
        <v/>
      </c>
      <c r="S161" s="21">
        <f>IF(OR(R161="",P161="",N(L161)=0),"",R161-P161-Settings!$B$4)</f>
        <v/>
      </c>
      <c r="T161" s="17">
        <f>IF(S161="","",S161-TODAY())</f>
        <v/>
      </c>
      <c r="U161" s="14">
        <f>IF(OR(B161="",C161="Epic"),"",IF(N(L161)=0,IF(J161="","","ON HAND"),IF(OR(O161="Ordered",O161="Shipped",O161="Received"),O161,IF(S161="","NEED LEAD TIME",IF(T161&lt;0,"OVERDUE",IF(T161&lt;=Settings!$B$5,"ORDER SOON","OK"))))))</f>
        <v/>
      </c>
      <c r="V161" s="15" t="n"/>
    </row>
    <row r="162">
      <c r="A162" s="14">
        <f>IF(B162="","",IF(C162="Epic",IFERROR(INDEX(Lists!$A:$A,MATCH(B162,Lists!$B:$B,0)),"?"),1000+ROW()))</f>
        <v/>
      </c>
      <c r="B162" s="15" t="n"/>
      <c r="C162" s="15" t="n"/>
      <c r="D162" s="15" t="n"/>
      <c r="E162" s="14">
        <f>IF(OR(C162="Epic",D162=""),"",IFERROR(INDEX(Lists!$A:$A,MATCH(D162,Lists!$B:$B,0)),""))</f>
        <v/>
      </c>
      <c r="F162" s="15" t="n"/>
      <c r="G162" s="15" t="n"/>
      <c r="H162" s="15" t="n"/>
      <c r="I162" s="15" t="n"/>
      <c r="J162" s="16" t="n"/>
      <c r="K162" s="16" t="n"/>
      <c r="L162" s="17">
        <f>IF(OR(C162="Epic",J162=""),"",MAX(0,J162-N(K162)))</f>
        <v/>
      </c>
      <c r="M162" s="18" t="n"/>
      <c r="N162" s="19">
        <f>IF(OR(L162="",M162=""),"",L162*M162)</f>
        <v/>
      </c>
      <c r="O162" s="15" t="n"/>
      <c r="P162" s="16" t="n"/>
      <c r="Q162" s="20" t="n"/>
      <c r="R162" s="21">
        <f>IF(OR(B162="",C162="Epic"),"",IF(Q162="",Settings!$B$3,Q162))</f>
        <v/>
      </c>
      <c r="S162" s="21">
        <f>IF(OR(R162="",P162="",N(L162)=0),"",R162-P162-Settings!$B$4)</f>
        <v/>
      </c>
      <c r="T162" s="17">
        <f>IF(S162="","",S162-TODAY())</f>
        <v/>
      </c>
      <c r="U162" s="14">
        <f>IF(OR(B162="",C162="Epic"),"",IF(N(L162)=0,IF(J162="","","ON HAND"),IF(OR(O162="Ordered",O162="Shipped",O162="Received"),O162,IF(S162="","NEED LEAD TIME",IF(T162&lt;0,"OVERDUE",IF(T162&lt;=Settings!$B$5,"ORDER SOON","OK"))))))</f>
        <v/>
      </c>
      <c r="V162" s="15" t="n"/>
    </row>
    <row r="163">
      <c r="A163" s="14">
        <f>IF(B163="","",IF(C163="Epic",IFERROR(INDEX(Lists!$A:$A,MATCH(B163,Lists!$B:$B,0)),"?"),1000+ROW()))</f>
        <v/>
      </c>
      <c r="B163" s="15" t="n"/>
      <c r="C163" s="15" t="n"/>
      <c r="D163" s="15" t="n"/>
      <c r="E163" s="14">
        <f>IF(OR(C163="Epic",D163=""),"",IFERROR(INDEX(Lists!$A:$A,MATCH(D163,Lists!$B:$B,0)),""))</f>
        <v/>
      </c>
      <c r="F163" s="15" t="n"/>
      <c r="G163" s="15" t="n"/>
      <c r="H163" s="15" t="n"/>
      <c r="I163" s="15" t="n"/>
      <c r="J163" s="16" t="n"/>
      <c r="K163" s="16" t="n"/>
      <c r="L163" s="17">
        <f>IF(OR(C163="Epic",J163=""),"",MAX(0,J163-N(K163)))</f>
        <v/>
      </c>
      <c r="M163" s="18" t="n"/>
      <c r="N163" s="19">
        <f>IF(OR(L163="",M163=""),"",L163*M163)</f>
        <v/>
      </c>
      <c r="O163" s="15" t="n"/>
      <c r="P163" s="16" t="n"/>
      <c r="Q163" s="20" t="n"/>
      <c r="R163" s="21">
        <f>IF(OR(B163="",C163="Epic"),"",IF(Q163="",Settings!$B$3,Q163))</f>
        <v/>
      </c>
      <c r="S163" s="21">
        <f>IF(OR(R163="",P163="",N(L163)=0),"",R163-P163-Settings!$B$4)</f>
        <v/>
      </c>
      <c r="T163" s="17">
        <f>IF(S163="","",S163-TODAY())</f>
        <v/>
      </c>
      <c r="U163" s="14">
        <f>IF(OR(B163="",C163="Epic"),"",IF(N(L163)=0,IF(J163="","","ON HAND"),IF(OR(O163="Ordered",O163="Shipped",O163="Received"),O163,IF(S163="","NEED LEAD TIME",IF(T163&lt;0,"OVERDUE",IF(T163&lt;=Settings!$B$5,"ORDER SOON","OK"))))))</f>
        <v/>
      </c>
      <c r="V163" s="15" t="n"/>
    </row>
    <row r="164">
      <c r="A164" s="14">
        <f>IF(B164="","",IF(C164="Epic",IFERROR(INDEX(Lists!$A:$A,MATCH(B164,Lists!$B:$B,0)),"?"),1000+ROW()))</f>
        <v/>
      </c>
      <c r="B164" s="15" t="n"/>
      <c r="C164" s="15" t="n"/>
      <c r="D164" s="15" t="n"/>
      <c r="E164" s="14">
        <f>IF(OR(C164="Epic",D164=""),"",IFERROR(INDEX(Lists!$A:$A,MATCH(D164,Lists!$B:$B,0)),""))</f>
        <v/>
      </c>
      <c r="F164" s="15" t="n"/>
      <c r="G164" s="15" t="n"/>
      <c r="H164" s="15" t="n"/>
      <c r="I164" s="15" t="n"/>
      <c r="J164" s="16" t="n"/>
      <c r="K164" s="16" t="n"/>
      <c r="L164" s="17">
        <f>IF(OR(C164="Epic",J164=""),"",MAX(0,J164-N(K164)))</f>
        <v/>
      </c>
      <c r="M164" s="18" t="n"/>
      <c r="N164" s="19">
        <f>IF(OR(L164="",M164=""),"",L164*M164)</f>
        <v/>
      </c>
      <c r="O164" s="15" t="n"/>
      <c r="P164" s="16" t="n"/>
      <c r="Q164" s="20" t="n"/>
      <c r="R164" s="21">
        <f>IF(OR(B164="",C164="Epic"),"",IF(Q164="",Settings!$B$3,Q164))</f>
        <v/>
      </c>
      <c r="S164" s="21">
        <f>IF(OR(R164="",P164="",N(L164)=0),"",R164-P164-Settings!$B$4)</f>
        <v/>
      </c>
      <c r="T164" s="17">
        <f>IF(S164="","",S164-TODAY())</f>
        <v/>
      </c>
      <c r="U164" s="14">
        <f>IF(OR(B164="",C164="Epic"),"",IF(N(L164)=0,IF(J164="","","ON HAND"),IF(OR(O164="Ordered",O164="Shipped",O164="Received"),O164,IF(S164="","NEED LEAD TIME",IF(T164&lt;0,"OVERDUE",IF(T164&lt;=Settings!$B$5,"ORDER SOON","OK"))))))</f>
        <v/>
      </c>
      <c r="V164" s="15" t="n"/>
    </row>
    <row r="165">
      <c r="A165" s="14">
        <f>IF(B165="","",IF(C165="Epic",IFERROR(INDEX(Lists!$A:$A,MATCH(B165,Lists!$B:$B,0)),"?"),1000+ROW()))</f>
        <v/>
      </c>
      <c r="B165" s="15" t="n"/>
      <c r="C165" s="15" t="n"/>
      <c r="D165" s="15" t="n"/>
      <c r="E165" s="14">
        <f>IF(OR(C165="Epic",D165=""),"",IFERROR(INDEX(Lists!$A:$A,MATCH(D165,Lists!$B:$B,0)),""))</f>
        <v/>
      </c>
      <c r="F165" s="15" t="n"/>
      <c r="G165" s="15" t="n"/>
      <c r="H165" s="15" t="n"/>
      <c r="I165" s="15" t="n"/>
      <c r="J165" s="16" t="n"/>
      <c r="K165" s="16" t="n"/>
      <c r="L165" s="17">
        <f>IF(OR(C165="Epic",J165=""),"",MAX(0,J165-N(K165)))</f>
        <v/>
      </c>
      <c r="M165" s="18" t="n"/>
      <c r="N165" s="19">
        <f>IF(OR(L165="",M165=""),"",L165*M165)</f>
        <v/>
      </c>
      <c r="O165" s="15" t="n"/>
      <c r="P165" s="16" t="n"/>
      <c r="Q165" s="20" t="n"/>
      <c r="R165" s="21">
        <f>IF(OR(B165="",C165="Epic"),"",IF(Q165="",Settings!$B$3,Q165))</f>
        <v/>
      </c>
      <c r="S165" s="21">
        <f>IF(OR(R165="",P165="",N(L165)=0),"",R165-P165-Settings!$B$4)</f>
        <v/>
      </c>
      <c r="T165" s="17">
        <f>IF(S165="","",S165-TODAY())</f>
        <v/>
      </c>
      <c r="U165" s="14">
        <f>IF(OR(B165="",C165="Epic"),"",IF(N(L165)=0,IF(J165="","","ON HAND"),IF(OR(O165="Ordered",O165="Shipped",O165="Received"),O165,IF(S165="","NEED LEAD TIME",IF(T165&lt;0,"OVERDUE",IF(T165&lt;=Settings!$B$5,"ORDER SOON","OK"))))))</f>
        <v/>
      </c>
      <c r="V165" s="15" t="n"/>
    </row>
    <row r="166">
      <c r="A166" s="14">
        <f>IF(B166="","",IF(C166="Epic",IFERROR(INDEX(Lists!$A:$A,MATCH(B166,Lists!$B:$B,0)),"?"),1000+ROW()))</f>
        <v/>
      </c>
      <c r="B166" s="15" t="n"/>
      <c r="C166" s="15" t="n"/>
      <c r="D166" s="15" t="n"/>
      <c r="E166" s="14">
        <f>IF(OR(C166="Epic",D166=""),"",IFERROR(INDEX(Lists!$A:$A,MATCH(D166,Lists!$B:$B,0)),""))</f>
        <v/>
      </c>
      <c r="F166" s="15" t="n"/>
      <c r="G166" s="15" t="n"/>
      <c r="H166" s="15" t="n"/>
      <c r="I166" s="15" t="n"/>
      <c r="J166" s="16" t="n"/>
      <c r="K166" s="16" t="n"/>
      <c r="L166" s="17">
        <f>IF(OR(C166="Epic",J166=""),"",MAX(0,J166-N(K166)))</f>
        <v/>
      </c>
      <c r="M166" s="18" t="n"/>
      <c r="N166" s="19">
        <f>IF(OR(L166="",M166=""),"",L166*M166)</f>
        <v/>
      </c>
      <c r="O166" s="15" t="n"/>
      <c r="P166" s="16" t="n"/>
      <c r="Q166" s="20" t="n"/>
      <c r="R166" s="21">
        <f>IF(OR(B166="",C166="Epic"),"",IF(Q166="",Settings!$B$3,Q166))</f>
        <v/>
      </c>
      <c r="S166" s="21">
        <f>IF(OR(R166="",P166="",N(L166)=0),"",R166-P166-Settings!$B$4)</f>
        <v/>
      </c>
      <c r="T166" s="17">
        <f>IF(S166="","",S166-TODAY())</f>
        <v/>
      </c>
      <c r="U166" s="14">
        <f>IF(OR(B166="",C166="Epic"),"",IF(N(L166)=0,IF(J166="","","ON HAND"),IF(OR(O166="Ordered",O166="Shipped",O166="Received"),O166,IF(S166="","NEED LEAD TIME",IF(T166&lt;0,"OVERDUE",IF(T166&lt;=Settings!$B$5,"ORDER SOON","OK"))))))</f>
        <v/>
      </c>
      <c r="V166" s="15" t="n"/>
    </row>
    <row r="167">
      <c r="A167" s="14">
        <f>IF(B167="","",IF(C167="Epic",IFERROR(INDEX(Lists!$A:$A,MATCH(B167,Lists!$B:$B,0)),"?"),1000+ROW()))</f>
        <v/>
      </c>
      <c r="B167" s="15" t="n"/>
      <c r="C167" s="15" t="n"/>
      <c r="D167" s="15" t="n"/>
      <c r="E167" s="14">
        <f>IF(OR(C167="Epic",D167=""),"",IFERROR(INDEX(Lists!$A:$A,MATCH(D167,Lists!$B:$B,0)),""))</f>
        <v/>
      </c>
      <c r="F167" s="15" t="n"/>
      <c r="G167" s="15" t="n"/>
      <c r="H167" s="15" t="n"/>
      <c r="I167" s="15" t="n"/>
      <c r="J167" s="16" t="n"/>
      <c r="K167" s="16" t="n"/>
      <c r="L167" s="17">
        <f>IF(OR(C167="Epic",J167=""),"",MAX(0,J167-N(K167)))</f>
        <v/>
      </c>
      <c r="M167" s="18" t="n"/>
      <c r="N167" s="19">
        <f>IF(OR(L167="",M167=""),"",L167*M167)</f>
        <v/>
      </c>
      <c r="O167" s="15" t="n"/>
      <c r="P167" s="16" t="n"/>
      <c r="Q167" s="20" t="n"/>
      <c r="R167" s="21">
        <f>IF(OR(B167="",C167="Epic"),"",IF(Q167="",Settings!$B$3,Q167))</f>
        <v/>
      </c>
      <c r="S167" s="21">
        <f>IF(OR(R167="",P167="",N(L167)=0),"",R167-P167-Settings!$B$4)</f>
        <v/>
      </c>
      <c r="T167" s="17">
        <f>IF(S167="","",S167-TODAY())</f>
        <v/>
      </c>
      <c r="U167" s="14">
        <f>IF(OR(B167="",C167="Epic"),"",IF(N(L167)=0,IF(J167="","","ON HAND"),IF(OR(O167="Ordered",O167="Shipped",O167="Received"),O167,IF(S167="","NEED LEAD TIME",IF(T167&lt;0,"OVERDUE",IF(T167&lt;=Settings!$B$5,"ORDER SOON","OK"))))))</f>
        <v/>
      </c>
      <c r="V167" s="15" t="n"/>
    </row>
    <row r="168">
      <c r="A168" s="14">
        <f>IF(B168="","",IF(C168="Epic",IFERROR(INDEX(Lists!$A:$A,MATCH(B168,Lists!$B:$B,0)),"?"),1000+ROW()))</f>
        <v/>
      </c>
      <c r="B168" s="15" t="n"/>
      <c r="C168" s="15" t="n"/>
      <c r="D168" s="15" t="n"/>
      <c r="E168" s="14">
        <f>IF(OR(C168="Epic",D168=""),"",IFERROR(INDEX(Lists!$A:$A,MATCH(D168,Lists!$B:$B,0)),""))</f>
        <v/>
      </c>
      <c r="F168" s="15" t="n"/>
      <c r="G168" s="15" t="n"/>
      <c r="H168" s="15" t="n"/>
      <c r="I168" s="15" t="n"/>
      <c r="J168" s="16" t="n"/>
      <c r="K168" s="16" t="n"/>
      <c r="L168" s="17">
        <f>IF(OR(C168="Epic",J168=""),"",MAX(0,J168-N(K168)))</f>
        <v/>
      </c>
      <c r="M168" s="18" t="n"/>
      <c r="N168" s="19">
        <f>IF(OR(L168="",M168=""),"",L168*M168)</f>
        <v/>
      </c>
      <c r="O168" s="15" t="n"/>
      <c r="P168" s="16" t="n"/>
      <c r="Q168" s="20" t="n"/>
      <c r="R168" s="21">
        <f>IF(OR(B168="",C168="Epic"),"",IF(Q168="",Settings!$B$3,Q168))</f>
        <v/>
      </c>
      <c r="S168" s="21">
        <f>IF(OR(R168="",P168="",N(L168)=0),"",R168-P168-Settings!$B$4)</f>
        <v/>
      </c>
      <c r="T168" s="17">
        <f>IF(S168="","",S168-TODAY())</f>
        <v/>
      </c>
      <c r="U168" s="14">
        <f>IF(OR(B168="",C168="Epic"),"",IF(N(L168)=0,IF(J168="","","ON HAND"),IF(OR(O168="Ordered",O168="Shipped",O168="Received"),O168,IF(S168="","NEED LEAD TIME",IF(T168&lt;0,"OVERDUE",IF(T168&lt;=Settings!$B$5,"ORDER SOON","OK"))))))</f>
        <v/>
      </c>
      <c r="V168" s="15" t="n"/>
    </row>
    <row r="169">
      <c r="A169" s="14">
        <f>IF(B169="","",IF(C169="Epic",IFERROR(INDEX(Lists!$A:$A,MATCH(B169,Lists!$B:$B,0)),"?"),1000+ROW()))</f>
        <v/>
      </c>
      <c r="B169" s="15" t="n"/>
      <c r="C169" s="15" t="n"/>
      <c r="D169" s="15" t="n"/>
      <c r="E169" s="14">
        <f>IF(OR(C169="Epic",D169=""),"",IFERROR(INDEX(Lists!$A:$A,MATCH(D169,Lists!$B:$B,0)),""))</f>
        <v/>
      </c>
      <c r="F169" s="15" t="n"/>
      <c r="G169" s="15" t="n"/>
      <c r="H169" s="15" t="n"/>
      <c r="I169" s="15" t="n"/>
      <c r="J169" s="16" t="n"/>
      <c r="K169" s="16" t="n"/>
      <c r="L169" s="17">
        <f>IF(OR(C169="Epic",J169=""),"",MAX(0,J169-N(K169)))</f>
        <v/>
      </c>
      <c r="M169" s="18" t="n"/>
      <c r="N169" s="19">
        <f>IF(OR(L169="",M169=""),"",L169*M169)</f>
        <v/>
      </c>
      <c r="O169" s="15" t="n"/>
      <c r="P169" s="16" t="n"/>
      <c r="Q169" s="20" t="n"/>
      <c r="R169" s="21">
        <f>IF(OR(B169="",C169="Epic"),"",IF(Q169="",Settings!$B$3,Q169))</f>
        <v/>
      </c>
      <c r="S169" s="21">
        <f>IF(OR(R169="",P169="",N(L169)=0),"",R169-P169-Settings!$B$4)</f>
        <v/>
      </c>
      <c r="T169" s="17">
        <f>IF(S169="","",S169-TODAY())</f>
        <v/>
      </c>
      <c r="U169" s="14">
        <f>IF(OR(B169="",C169="Epic"),"",IF(N(L169)=0,IF(J169="","","ON HAND"),IF(OR(O169="Ordered",O169="Shipped",O169="Received"),O169,IF(S169="","NEED LEAD TIME",IF(T169&lt;0,"OVERDUE",IF(T169&lt;=Settings!$B$5,"ORDER SOON","OK"))))))</f>
        <v/>
      </c>
      <c r="V169" s="15" t="n"/>
    </row>
    <row r="170">
      <c r="A170" s="14">
        <f>IF(B170="","",IF(C170="Epic",IFERROR(INDEX(Lists!$A:$A,MATCH(B170,Lists!$B:$B,0)),"?"),1000+ROW()))</f>
        <v/>
      </c>
      <c r="B170" s="15" t="n"/>
      <c r="C170" s="15" t="n"/>
      <c r="D170" s="15" t="n"/>
      <c r="E170" s="14">
        <f>IF(OR(C170="Epic",D170=""),"",IFERROR(INDEX(Lists!$A:$A,MATCH(D170,Lists!$B:$B,0)),""))</f>
        <v/>
      </c>
      <c r="F170" s="15" t="n"/>
      <c r="G170" s="15" t="n"/>
      <c r="H170" s="15" t="n"/>
      <c r="I170" s="15" t="n"/>
      <c r="J170" s="16" t="n"/>
      <c r="K170" s="16" t="n"/>
      <c r="L170" s="17">
        <f>IF(OR(C170="Epic",J170=""),"",MAX(0,J170-N(K170)))</f>
        <v/>
      </c>
      <c r="M170" s="18" t="n"/>
      <c r="N170" s="19">
        <f>IF(OR(L170="",M170=""),"",L170*M170)</f>
        <v/>
      </c>
      <c r="O170" s="15" t="n"/>
      <c r="P170" s="16" t="n"/>
      <c r="Q170" s="20" t="n"/>
      <c r="R170" s="21">
        <f>IF(OR(B170="",C170="Epic"),"",IF(Q170="",Settings!$B$3,Q170))</f>
        <v/>
      </c>
      <c r="S170" s="21">
        <f>IF(OR(R170="",P170="",N(L170)=0),"",R170-P170-Settings!$B$4)</f>
        <v/>
      </c>
      <c r="T170" s="17">
        <f>IF(S170="","",S170-TODAY())</f>
        <v/>
      </c>
      <c r="U170" s="14">
        <f>IF(OR(B170="",C170="Epic"),"",IF(N(L170)=0,IF(J170="","","ON HAND"),IF(OR(O170="Ordered",O170="Shipped",O170="Received"),O170,IF(S170="","NEED LEAD TIME",IF(T170&lt;0,"OVERDUE",IF(T170&lt;=Settings!$B$5,"ORDER SOON","OK"))))))</f>
        <v/>
      </c>
      <c r="V170" s="15" t="n"/>
    </row>
    <row r="171">
      <c r="A171" s="14">
        <f>IF(B171="","",IF(C171="Epic",IFERROR(INDEX(Lists!$A:$A,MATCH(B171,Lists!$B:$B,0)),"?"),1000+ROW()))</f>
        <v/>
      </c>
      <c r="B171" s="15" t="n"/>
      <c r="C171" s="15" t="n"/>
      <c r="D171" s="15" t="n"/>
      <c r="E171" s="14">
        <f>IF(OR(C171="Epic",D171=""),"",IFERROR(INDEX(Lists!$A:$A,MATCH(D171,Lists!$B:$B,0)),""))</f>
        <v/>
      </c>
      <c r="F171" s="15" t="n"/>
      <c r="G171" s="15" t="n"/>
      <c r="H171" s="15" t="n"/>
      <c r="I171" s="15" t="n"/>
      <c r="J171" s="16" t="n"/>
      <c r="K171" s="16" t="n"/>
      <c r="L171" s="17">
        <f>IF(OR(C171="Epic",J171=""),"",MAX(0,J171-N(K171)))</f>
        <v/>
      </c>
      <c r="M171" s="18" t="n"/>
      <c r="N171" s="19">
        <f>IF(OR(L171="",M171=""),"",L171*M171)</f>
        <v/>
      </c>
      <c r="O171" s="15" t="n"/>
      <c r="P171" s="16" t="n"/>
      <c r="Q171" s="20" t="n"/>
      <c r="R171" s="21">
        <f>IF(OR(B171="",C171="Epic"),"",IF(Q171="",Settings!$B$3,Q171))</f>
        <v/>
      </c>
      <c r="S171" s="21">
        <f>IF(OR(R171="",P171="",N(L171)=0),"",R171-P171-Settings!$B$4)</f>
        <v/>
      </c>
      <c r="T171" s="17">
        <f>IF(S171="","",S171-TODAY())</f>
        <v/>
      </c>
      <c r="U171" s="14">
        <f>IF(OR(B171="",C171="Epic"),"",IF(N(L171)=0,IF(J171="","","ON HAND"),IF(OR(O171="Ordered",O171="Shipped",O171="Received"),O171,IF(S171="","NEED LEAD TIME",IF(T171&lt;0,"OVERDUE",IF(T171&lt;=Settings!$B$5,"ORDER SOON","OK"))))))</f>
        <v/>
      </c>
      <c r="V171" s="15" t="n"/>
    </row>
    <row r="172">
      <c r="A172" s="14">
        <f>IF(B172="","",IF(C172="Epic",IFERROR(INDEX(Lists!$A:$A,MATCH(B172,Lists!$B:$B,0)),"?"),1000+ROW()))</f>
        <v/>
      </c>
      <c r="B172" s="15" t="n"/>
      <c r="C172" s="15" t="n"/>
      <c r="D172" s="15" t="n"/>
      <c r="E172" s="14">
        <f>IF(OR(C172="Epic",D172=""),"",IFERROR(INDEX(Lists!$A:$A,MATCH(D172,Lists!$B:$B,0)),""))</f>
        <v/>
      </c>
      <c r="F172" s="15" t="n"/>
      <c r="G172" s="15" t="n"/>
      <c r="H172" s="15" t="n"/>
      <c r="I172" s="15" t="n"/>
      <c r="J172" s="16" t="n"/>
      <c r="K172" s="16" t="n"/>
      <c r="L172" s="17">
        <f>IF(OR(C172="Epic",J172=""),"",MAX(0,J172-N(K172)))</f>
        <v/>
      </c>
      <c r="M172" s="18" t="n"/>
      <c r="N172" s="19">
        <f>IF(OR(L172="",M172=""),"",L172*M172)</f>
        <v/>
      </c>
      <c r="O172" s="15" t="n"/>
      <c r="P172" s="16" t="n"/>
      <c r="Q172" s="20" t="n"/>
      <c r="R172" s="21">
        <f>IF(OR(B172="",C172="Epic"),"",IF(Q172="",Settings!$B$3,Q172))</f>
        <v/>
      </c>
      <c r="S172" s="21">
        <f>IF(OR(R172="",P172="",N(L172)=0),"",R172-P172-Settings!$B$4)</f>
        <v/>
      </c>
      <c r="T172" s="17">
        <f>IF(S172="","",S172-TODAY())</f>
        <v/>
      </c>
      <c r="U172" s="14">
        <f>IF(OR(B172="",C172="Epic"),"",IF(N(L172)=0,IF(J172="","","ON HAND"),IF(OR(O172="Ordered",O172="Shipped",O172="Received"),O172,IF(S172="","NEED LEAD TIME",IF(T172&lt;0,"OVERDUE",IF(T172&lt;=Settings!$B$5,"ORDER SOON","OK"))))))</f>
        <v/>
      </c>
      <c r="V172" s="15" t="n"/>
    </row>
    <row r="173">
      <c r="A173" s="14">
        <f>IF(B173="","",IF(C173="Epic",IFERROR(INDEX(Lists!$A:$A,MATCH(B173,Lists!$B:$B,0)),"?"),1000+ROW()))</f>
        <v/>
      </c>
      <c r="B173" s="15" t="n"/>
      <c r="C173" s="15" t="n"/>
      <c r="D173" s="15" t="n"/>
      <c r="E173" s="14">
        <f>IF(OR(C173="Epic",D173=""),"",IFERROR(INDEX(Lists!$A:$A,MATCH(D173,Lists!$B:$B,0)),""))</f>
        <v/>
      </c>
      <c r="F173" s="15" t="n"/>
      <c r="G173" s="15" t="n"/>
      <c r="H173" s="15" t="n"/>
      <c r="I173" s="15" t="n"/>
      <c r="J173" s="16" t="n"/>
      <c r="K173" s="16" t="n"/>
      <c r="L173" s="17">
        <f>IF(OR(C173="Epic",J173=""),"",MAX(0,J173-N(K173)))</f>
        <v/>
      </c>
      <c r="M173" s="18" t="n"/>
      <c r="N173" s="19">
        <f>IF(OR(L173="",M173=""),"",L173*M173)</f>
        <v/>
      </c>
      <c r="O173" s="15" t="n"/>
      <c r="P173" s="16" t="n"/>
      <c r="Q173" s="20" t="n"/>
      <c r="R173" s="21">
        <f>IF(OR(B173="",C173="Epic"),"",IF(Q173="",Settings!$B$3,Q173))</f>
        <v/>
      </c>
      <c r="S173" s="21">
        <f>IF(OR(R173="",P173="",N(L173)=0),"",R173-P173-Settings!$B$4)</f>
        <v/>
      </c>
      <c r="T173" s="17">
        <f>IF(S173="","",S173-TODAY())</f>
        <v/>
      </c>
      <c r="U173" s="14">
        <f>IF(OR(B173="",C173="Epic"),"",IF(N(L173)=0,IF(J173="","","ON HAND"),IF(OR(O173="Ordered",O173="Shipped",O173="Received"),O173,IF(S173="","NEED LEAD TIME",IF(T173&lt;0,"OVERDUE",IF(T173&lt;=Settings!$B$5,"ORDER SOON","OK"))))))</f>
        <v/>
      </c>
      <c r="V173" s="15" t="n"/>
    </row>
    <row r="174">
      <c r="A174" s="14">
        <f>IF(B174="","",IF(C174="Epic",IFERROR(INDEX(Lists!$A:$A,MATCH(B174,Lists!$B:$B,0)),"?"),1000+ROW()))</f>
        <v/>
      </c>
      <c r="B174" s="15" t="n"/>
      <c r="C174" s="15" t="n"/>
      <c r="D174" s="15" t="n"/>
      <c r="E174" s="14">
        <f>IF(OR(C174="Epic",D174=""),"",IFERROR(INDEX(Lists!$A:$A,MATCH(D174,Lists!$B:$B,0)),""))</f>
        <v/>
      </c>
      <c r="F174" s="15" t="n"/>
      <c r="G174" s="15" t="n"/>
      <c r="H174" s="15" t="n"/>
      <c r="I174" s="15" t="n"/>
      <c r="J174" s="16" t="n"/>
      <c r="K174" s="16" t="n"/>
      <c r="L174" s="17">
        <f>IF(OR(C174="Epic",J174=""),"",MAX(0,J174-N(K174)))</f>
        <v/>
      </c>
      <c r="M174" s="18" t="n"/>
      <c r="N174" s="19">
        <f>IF(OR(L174="",M174=""),"",L174*M174)</f>
        <v/>
      </c>
      <c r="O174" s="15" t="n"/>
      <c r="P174" s="16" t="n"/>
      <c r="Q174" s="20" t="n"/>
      <c r="R174" s="21">
        <f>IF(OR(B174="",C174="Epic"),"",IF(Q174="",Settings!$B$3,Q174))</f>
        <v/>
      </c>
      <c r="S174" s="21">
        <f>IF(OR(R174="",P174="",N(L174)=0),"",R174-P174-Settings!$B$4)</f>
        <v/>
      </c>
      <c r="T174" s="17">
        <f>IF(S174="","",S174-TODAY())</f>
        <v/>
      </c>
      <c r="U174" s="14">
        <f>IF(OR(B174="",C174="Epic"),"",IF(N(L174)=0,IF(J174="","","ON HAND"),IF(OR(O174="Ordered",O174="Shipped",O174="Received"),O174,IF(S174="","NEED LEAD TIME",IF(T174&lt;0,"OVERDUE",IF(T174&lt;=Settings!$B$5,"ORDER SOON","OK"))))))</f>
        <v/>
      </c>
      <c r="V174" s="15" t="n"/>
    </row>
    <row r="175">
      <c r="A175" s="14">
        <f>IF(B175="","",IF(C175="Epic",IFERROR(INDEX(Lists!$A:$A,MATCH(B175,Lists!$B:$B,0)),"?"),1000+ROW()))</f>
        <v/>
      </c>
      <c r="B175" s="15" t="n"/>
      <c r="C175" s="15" t="n"/>
      <c r="D175" s="15" t="n"/>
      <c r="E175" s="14">
        <f>IF(OR(C175="Epic",D175=""),"",IFERROR(INDEX(Lists!$A:$A,MATCH(D175,Lists!$B:$B,0)),""))</f>
        <v/>
      </c>
      <c r="F175" s="15" t="n"/>
      <c r="G175" s="15" t="n"/>
      <c r="H175" s="15" t="n"/>
      <c r="I175" s="15" t="n"/>
      <c r="J175" s="16" t="n"/>
      <c r="K175" s="16" t="n"/>
      <c r="L175" s="17">
        <f>IF(OR(C175="Epic",J175=""),"",MAX(0,J175-N(K175)))</f>
        <v/>
      </c>
      <c r="M175" s="18" t="n"/>
      <c r="N175" s="19">
        <f>IF(OR(L175="",M175=""),"",L175*M175)</f>
        <v/>
      </c>
      <c r="O175" s="15" t="n"/>
      <c r="P175" s="16" t="n"/>
      <c r="Q175" s="20" t="n"/>
      <c r="R175" s="21">
        <f>IF(OR(B175="",C175="Epic"),"",IF(Q175="",Settings!$B$3,Q175))</f>
        <v/>
      </c>
      <c r="S175" s="21">
        <f>IF(OR(R175="",P175="",N(L175)=0),"",R175-P175-Settings!$B$4)</f>
        <v/>
      </c>
      <c r="T175" s="17">
        <f>IF(S175="","",S175-TODAY())</f>
        <v/>
      </c>
      <c r="U175" s="14">
        <f>IF(OR(B175="",C175="Epic"),"",IF(N(L175)=0,IF(J175="","","ON HAND"),IF(OR(O175="Ordered",O175="Shipped",O175="Received"),O175,IF(S175="","NEED LEAD TIME",IF(T175&lt;0,"OVERDUE",IF(T175&lt;=Settings!$B$5,"ORDER SOON","OK"))))))</f>
        <v/>
      </c>
      <c r="V175" s="15" t="n"/>
    </row>
    <row r="176">
      <c r="A176" s="14">
        <f>IF(B176="","",IF(C176="Epic",IFERROR(INDEX(Lists!$A:$A,MATCH(B176,Lists!$B:$B,0)),"?"),1000+ROW()))</f>
        <v/>
      </c>
      <c r="B176" s="15" t="n"/>
      <c r="C176" s="15" t="n"/>
      <c r="D176" s="15" t="n"/>
      <c r="E176" s="14">
        <f>IF(OR(C176="Epic",D176=""),"",IFERROR(INDEX(Lists!$A:$A,MATCH(D176,Lists!$B:$B,0)),""))</f>
        <v/>
      </c>
      <c r="F176" s="15" t="n"/>
      <c r="G176" s="15" t="n"/>
      <c r="H176" s="15" t="n"/>
      <c r="I176" s="15" t="n"/>
      <c r="J176" s="16" t="n"/>
      <c r="K176" s="16" t="n"/>
      <c r="L176" s="17">
        <f>IF(OR(C176="Epic",J176=""),"",MAX(0,J176-N(K176)))</f>
        <v/>
      </c>
      <c r="M176" s="18" t="n"/>
      <c r="N176" s="19">
        <f>IF(OR(L176="",M176=""),"",L176*M176)</f>
        <v/>
      </c>
      <c r="O176" s="15" t="n"/>
      <c r="P176" s="16" t="n"/>
      <c r="Q176" s="20" t="n"/>
      <c r="R176" s="21">
        <f>IF(OR(B176="",C176="Epic"),"",IF(Q176="",Settings!$B$3,Q176))</f>
        <v/>
      </c>
      <c r="S176" s="21">
        <f>IF(OR(R176="",P176="",N(L176)=0),"",R176-P176-Settings!$B$4)</f>
        <v/>
      </c>
      <c r="T176" s="17">
        <f>IF(S176="","",S176-TODAY())</f>
        <v/>
      </c>
      <c r="U176" s="14">
        <f>IF(OR(B176="",C176="Epic"),"",IF(N(L176)=0,IF(J176="","","ON HAND"),IF(OR(O176="Ordered",O176="Shipped",O176="Received"),O176,IF(S176="","NEED LEAD TIME",IF(T176&lt;0,"OVERDUE",IF(T176&lt;=Settings!$B$5,"ORDER SOON","OK"))))))</f>
        <v/>
      </c>
      <c r="V176" s="15" t="n"/>
    </row>
    <row r="177">
      <c r="A177" s="14">
        <f>IF(B177="","",IF(C177="Epic",IFERROR(INDEX(Lists!$A:$A,MATCH(B177,Lists!$B:$B,0)),"?"),1000+ROW()))</f>
        <v/>
      </c>
      <c r="B177" s="15" t="n"/>
      <c r="C177" s="15" t="n"/>
      <c r="D177" s="15" t="n"/>
      <c r="E177" s="14">
        <f>IF(OR(C177="Epic",D177=""),"",IFERROR(INDEX(Lists!$A:$A,MATCH(D177,Lists!$B:$B,0)),""))</f>
        <v/>
      </c>
      <c r="F177" s="15" t="n"/>
      <c r="G177" s="15" t="n"/>
      <c r="H177" s="15" t="n"/>
      <c r="I177" s="15" t="n"/>
      <c r="J177" s="16" t="n"/>
      <c r="K177" s="16" t="n"/>
      <c r="L177" s="17">
        <f>IF(OR(C177="Epic",J177=""),"",MAX(0,J177-N(K177)))</f>
        <v/>
      </c>
      <c r="M177" s="18" t="n"/>
      <c r="N177" s="19">
        <f>IF(OR(L177="",M177=""),"",L177*M177)</f>
        <v/>
      </c>
      <c r="O177" s="15" t="n"/>
      <c r="P177" s="16" t="n"/>
      <c r="Q177" s="20" t="n"/>
      <c r="R177" s="21">
        <f>IF(OR(B177="",C177="Epic"),"",IF(Q177="",Settings!$B$3,Q177))</f>
        <v/>
      </c>
      <c r="S177" s="21">
        <f>IF(OR(R177="",P177="",N(L177)=0),"",R177-P177-Settings!$B$4)</f>
        <v/>
      </c>
      <c r="T177" s="17">
        <f>IF(S177="","",S177-TODAY())</f>
        <v/>
      </c>
      <c r="U177" s="14">
        <f>IF(OR(B177="",C177="Epic"),"",IF(N(L177)=0,IF(J177="","","ON HAND"),IF(OR(O177="Ordered",O177="Shipped",O177="Received"),O177,IF(S177="","NEED LEAD TIME",IF(T177&lt;0,"OVERDUE",IF(T177&lt;=Settings!$B$5,"ORDER SOON","OK"))))))</f>
        <v/>
      </c>
      <c r="V177" s="15" t="n"/>
    </row>
    <row r="178">
      <c r="A178" s="14">
        <f>IF(B178="","",IF(C178="Epic",IFERROR(INDEX(Lists!$A:$A,MATCH(B178,Lists!$B:$B,0)),"?"),1000+ROW()))</f>
        <v/>
      </c>
      <c r="B178" s="15" t="n"/>
      <c r="C178" s="15" t="n"/>
      <c r="D178" s="15" t="n"/>
      <c r="E178" s="14">
        <f>IF(OR(C178="Epic",D178=""),"",IFERROR(INDEX(Lists!$A:$A,MATCH(D178,Lists!$B:$B,0)),""))</f>
        <v/>
      </c>
      <c r="F178" s="15" t="n"/>
      <c r="G178" s="15" t="n"/>
      <c r="H178" s="15" t="n"/>
      <c r="I178" s="15" t="n"/>
      <c r="J178" s="16" t="n"/>
      <c r="K178" s="16" t="n"/>
      <c r="L178" s="17">
        <f>IF(OR(C178="Epic",J178=""),"",MAX(0,J178-N(K178)))</f>
        <v/>
      </c>
      <c r="M178" s="18" t="n"/>
      <c r="N178" s="19">
        <f>IF(OR(L178="",M178=""),"",L178*M178)</f>
        <v/>
      </c>
      <c r="O178" s="15" t="n"/>
      <c r="P178" s="16" t="n"/>
      <c r="Q178" s="20" t="n"/>
      <c r="R178" s="21">
        <f>IF(OR(B178="",C178="Epic"),"",IF(Q178="",Settings!$B$3,Q178))</f>
        <v/>
      </c>
      <c r="S178" s="21">
        <f>IF(OR(R178="",P178="",N(L178)=0),"",R178-P178-Settings!$B$4)</f>
        <v/>
      </c>
      <c r="T178" s="17">
        <f>IF(S178="","",S178-TODAY())</f>
        <v/>
      </c>
      <c r="U178" s="14">
        <f>IF(OR(B178="",C178="Epic"),"",IF(N(L178)=0,IF(J178="","","ON HAND"),IF(OR(O178="Ordered",O178="Shipped",O178="Received"),O178,IF(S178="","NEED LEAD TIME",IF(T178&lt;0,"OVERDUE",IF(T178&lt;=Settings!$B$5,"ORDER SOON","OK"))))))</f>
        <v/>
      </c>
      <c r="V178" s="15" t="n"/>
    </row>
    <row r="179">
      <c r="A179" s="14">
        <f>IF(B179="","",IF(C179="Epic",IFERROR(INDEX(Lists!$A:$A,MATCH(B179,Lists!$B:$B,0)),"?"),1000+ROW()))</f>
        <v/>
      </c>
      <c r="B179" s="15" t="n"/>
      <c r="C179" s="15" t="n"/>
      <c r="D179" s="15" t="n"/>
      <c r="E179" s="14">
        <f>IF(OR(C179="Epic",D179=""),"",IFERROR(INDEX(Lists!$A:$A,MATCH(D179,Lists!$B:$B,0)),""))</f>
        <v/>
      </c>
      <c r="F179" s="15" t="n"/>
      <c r="G179" s="15" t="n"/>
      <c r="H179" s="15" t="n"/>
      <c r="I179" s="15" t="n"/>
      <c r="J179" s="16" t="n"/>
      <c r="K179" s="16" t="n"/>
      <c r="L179" s="17">
        <f>IF(OR(C179="Epic",J179=""),"",MAX(0,J179-N(K179)))</f>
        <v/>
      </c>
      <c r="M179" s="18" t="n"/>
      <c r="N179" s="19">
        <f>IF(OR(L179="",M179=""),"",L179*M179)</f>
        <v/>
      </c>
      <c r="O179" s="15" t="n"/>
      <c r="P179" s="16" t="n"/>
      <c r="Q179" s="20" t="n"/>
      <c r="R179" s="21">
        <f>IF(OR(B179="",C179="Epic"),"",IF(Q179="",Settings!$B$3,Q179))</f>
        <v/>
      </c>
      <c r="S179" s="21">
        <f>IF(OR(R179="",P179="",N(L179)=0),"",R179-P179-Settings!$B$4)</f>
        <v/>
      </c>
      <c r="T179" s="17">
        <f>IF(S179="","",S179-TODAY())</f>
        <v/>
      </c>
      <c r="U179" s="14">
        <f>IF(OR(B179="",C179="Epic"),"",IF(N(L179)=0,IF(J179="","","ON HAND"),IF(OR(O179="Ordered",O179="Shipped",O179="Received"),O179,IF(S179="","NEED LEAD TIME",IF(T179&lt;0,"OVERDUE",IF(T179&lt;=Settings!$B$5,"ORDER SOON","OK"))))))</f>
        <v/>
      </c>
      <c r="V179" s="15" t="n"/>
    </row>
    <row r="180">
      <c r="A180" s="14">
        <f>IF(B180="","",IF(C180="Epic",IFERROR(INDEX(Lists!$A:$A,MATCH(B180,Lists!$B:$B,0)),"?"),1000+ROW()))</f>
        <v/>
      </c>
      <c r="B180" s="15" t="n"/>
      <c r="C180" s="15" t="n"/>
      <c r="D180" s="15" t="n"/>
      <c r="E180" s="14">
        <f>IF(OR(C180="Epic",D180=""),"",IFERROR(INDEX(Lists!$A:$A,MATCH(D180,Lists!$B:$B,0)),""))</f>
        <v/>
      </c>
      <c r="F180" s="15" t="n"/>
      <c r="G180" s="15" t="n"/>
      <c r="H180" s="15" t="n"/>
      <c r="I180" s="15" t="n"/>
      <c r="J180" s="16" t="n"/>
      <c r="K180" s="16" t="n"/>
      <c r="L180" s="17">
        <f>IF(OR(C180="Epic",J180=""),"",MAX(0,J180-N(K180)))</f>
        <v/>
      </c>
      <c r="M180" s="18" t="n"/>
      <c r="N180" s="19">
        <f>IF(OR(L180="",M180=""),"",L180*M180)</f>
        <v/>
      </c>
      <c r="O180" s="15" t="n"/>
      <c r="P180" s="16" t="n"/>
      <c r="Q180" s="20" t="n"/>
      <c r="R180" s="21">
        <f>IF(OR(B180="",C180="Epic"),"",IF(Q180="",Settings!$B$3,Q180))</f>
        <v/>
      </c>
      <c r="S180" s="21">
        <f>IF(OR(R180="",P180="",N(L180)=0),"",R180-P180-Settings!$B$4)</f>
        <v/>
      </c>
      <c r="T180" s="17">
        <f>IF(S180="","",S180-TODAY())</f>
        <v/>
      </c>
      <c r="U180" s="14">
        <f>IF(OR(B180="",C180="Epic"),"",IF(N(L180)=0,IF(J180="","","ON HAND"),IF(OR(O180="Ordered",O180="Shipped",O180="Received"),O180,IF(S180="","NEED LEAD TIME",IF(T180&lt;0,"OVERDUE",IF(T180&lt;=Settings!$B$5,"ORDER SOON","OK"))))))</f>
        <v/>
      </c>
      <c r="V180" s="15" t="n"/>
    </row>
    <row r="181">
      <c r="A181" s="14">
        <f>IF(B181="","",IF(C181="Epic",IFERROR(INDEX(Lists!$A:$A,MATCH(B181,Lists!$B:$B,0)),"?"),1000+ROW()))</f>
        <v/>
      </c>
      <c r="B181" s="15" t="n"/>
      <c r="C181" s="15" t="n"/>
      <c r="D181" s="15" t="n"/>
      <c r="E181" s="14">
        <f>IF(OR(C181="Epic",D181=""),"",IFERROR(INDEX(Lists!$A:$A,MATCH(D181,Lists!$B:$B,0)),""))</f>
        <v/>
      </c>
      <c r="F181" s="15" t="n"/>
      <c r="G181" s="15" t="n"/>
      <c r="H181" s="15" t="n"/>
      <c r="I181" s="15" t="n"/>
      <c r="J181" s="16" t="n"/>
      <c r="K181" s="16" t="n"/>
      <c r="L181" s="17">
        <f>IF(OR(C181="Epic",J181=""),"",MAX(0,J181-N(K181)))</f>
        <v/>
      </c>
      <c r="M181" s="18" t="n"/>
      <c r="N181" s="19">
        <f>IF(OR(L181="",M181=""),"",L181*M181)</f>
        <v/>
      </c>
      <c r="O181" s="15" t="n"/>
      <c r="P181" s="16" t="n"/>
      <c r="Q181" s="20" t="n"/>
      <c r="R181" s="21">
        <f>IF(OR(B181="",C181="Epic"),"",IF(Q181="",Settings!$B$3,Q181))</f>
        <v/>
      </c>
      <c r="S181" s="21">
        <f>IF(OR(R181="",P181="",N(L181)=0),"",R181-P181-Settings!$B$4)</f>
        <v/>
      </c>
      <c r="T181" s="17">
        <f>IF(S181="","",S181-TODAY())</f>
        <v/>
      </c>
      <c r="U181" s="14">
        <f>IF(OR(B181="",C181="Epic"),"",IF(N(L181)=0,IF(J181="","","ON HAND"),IF(OR(O181="Ordered",O181="Shipped",O181="Received"),O181,IF(S181="","NEED LEAD TIME",IF(T181&lt;0,"OVERDUE",IF(T181&lt;=Settings!$B$5,"ORDER SOON","OK"))))))</f>
        <v/>
      </c>
      <c r="V181" s="15" t="n"/>
    </row>
    <row r="182">
      <c r="A182" s="14">
        <f>IF(B182="","",IF(C182="Epic",IFERROR(INDEX(Lists!$A:$A,MATCH(B182,Lists!$B:$B,0)),"?"),1000+ROW()))</f>
        <v/>
      </c>
      <c r="B182" s="15" t="n"/>
      <c r="C182" s="15" t="n"/>
      <c r="D182" s="15" t="n"/>
      <c r="E182" s="14">
        <f>IF(OR(C182="Epic",D182=""),"",IFERROR(INDEX(Lists!$A:$A,MATCH(D182,Lists!$B:$B,0)),""))</f>
        <v/>
      </c>
      <c r="F182" s="15" t="n"/>
      <c r="G182" s="15" t="n"/>
      <c r="H182" s="15" t="n"/>
      <c r="I182" s="15" t="n"/>
      <c r="J182" s="16" t="n"/>
      <c r="K182" s="16" t="n"/>
      <c r="L182" s="17">
        <f>IF(OR(C182="Epic",J182=""),"",MAX(0,J182-N(K182)))</f>
        <v/>
      </c>
      <c r="M182" s="18" t="n"/>
      <c r="N182" s="19">
        <f>IF(OR(L182="",M182=""),"",L182*M182)</f>
        <v/>
      </c>
      <c r="O182" s="15" t="n"/>
      <c r="P182" s="16" t="n"/>
      <c r="Q182" s="20" t="n"/>
      <c r="R182" s="21">
        <f>IF(OR(B182="",C182="Epic"),"",IF(Q182="",Settings!$B$3,Q182))</f>
        <v/>
      </c>
      <c r="S182" s="21">
        <f>IF(OR(R182="",P182="",N(L182)=0),"",R182-P182-Settings!$B$4)</f>
        <v/>
      </c>
      <c r="T182" s="17">
        <f>IF(S182="","",S182-TODAY())</f>
        <v/>
      </c>
      <c r="U182" s="14">
        <f>IF(OR(B182="",C182="Epic"),"",IF(N(L182)=0,IF(J182="","","ON HAND"),IF(OR(O182="Ordered",O182="Shipped",O182="Received"),O182,IF(S182="","NEED LEAD TIME",IF(T182&lt;0,"OVERDUE",IF(T182&lt;=Settings!$B$5,"ORDER SOON","OK"))))))</f>
        <v/>
      </c>
      <c r="V182" s="15" t="n"/>
    </row>
    <row r="183">
      <c r="A183" s="14">
        <f>IF(B183="","",IF(C183="Epic",IFERROR(INDEX(Lists!$A:$A,MATCH(B183,Lists!$B:$B,0)),"?"),1000+ROW()))</f>
        <v/>
      </c>
      <c r="B183" s="15" t="n"/>
      <c r="C183" s="15" t="n"/>
      <c r="D183" s="15" t="n"/>
      <c r="E183" s="14">
        <f>IF(OR(C183="Epic",D183=""),"",IFERROR(INDEX(Lists!$A:$A,MATCH(D183,Lists!$B:$B,0)),""))</f>
        <v/>
      </c>
      <c r="F183" s="15" t="n"/>
      <c r="G183" s="15" t="n"/>
      <c r="H183" s="15" t="n"/>
      <c r="I183" s="15" t="n"/>
      <c r="J183" s="16" t="n"/>
      <c r="K183" s="16" t="n"/>
      <c r="L183" s="17">
        <f>IF(OR(C183="Epic",J183=""),"",MAX(0,J183-N(K183)))</f>
        <v/>
      </c>
      <c r="M183" s="18" t="n"/>
      <c r="N183" s="19">
        <f>IF(OR(L183="",M183=""),"",L183*M183)</f>
        <v/>
      </c>
      <c r="O183" s="15" t="n"/>
      <c r="P183" s="16" t="n"/>
      <c r="Q183" s="20" t="n"/>
      <c r="R183" s="21">
        <f>IF(OR(B183="",C183="Epic"),"",IF(Q183="",Settings!$B$3,Q183))</f>
        <v/>
      </c>
      <c r="S183" s="21">
        <f>IF(OR(R183="",P183="",N(L183)=0),"",R183-P183-Settings!$B$4)</f>
        <v/>
      </c>
      <c r="T183" s="17">
        <f>IF(S183="","",S183-TODAY())</f>
        <v/>
      </c>
      <c r="U183" s="14">
        <f>IF(OR(B183="",C183="Epic"),"",IF(N(L183)=0,IF(J183="","","ON HAND"),IF(OR(O183="Ordered",O183="Shipped",O183="Received"),O183,IF(S183="","NEED LEAD TIME",IF(T183&lt;0,"OVERDUE",IF(T183&lt;=Settings!$B$5,"ORDER SOON","OK"))))))</f>
        <v/>
      </c>
      <c r="V183" s="15" t="n"/>
    </row>
    <row r="184">
      <c r="A184" s="14">
        <f>IF(B184="","",IF(C184="Epic",IFERROR(INDEX(Lists!$A:$A,MATCH(B184,Lists!$B:$B,0)),"?"),1000+ROW()))</f>
        <v/>
      </c>
      <c r="B184" s="15" t="n"/>
      <c r="C184" s="15" t="n"/>
      <c r="D184" s="15" t="n"/>
      <c r="E184" s="14">
        <f>IF(OR(C184="Epic",D184=""),"",IFERROR(INDEX(Lists!$A:$A,MATCH(D184,Lists!$B:$B,0)),""))</f>
        <v/>
      </c>
      <c r="F184" s="15" t="n"/>
      <c r="G184" s="15" t="n"/>
      <c r="H184" s="15" t="n"/>
      <c r="I184" s="15" t="n"/>
      <c r="J184" s="16" t="n"/>
      <c r="K184" s="16" t="n"/>
      <c r="L184" s="17">
        <f>IF(OR(C184="Epic",J184=""),"",MAX(0,J184-N(K184)))</f>
        <v/>
      </c>
      <c r="M184" s="18" t="n"/>
      <c r="N184" s="19">
        <f>IF(OR(L184="",M184=""),"",L184*M184)</f>
        <v/>
      </c>
      <c r="O184" s="15" t="n"/>
      <c r="P184" s="16" t="n"/>
      <c r="Q184" s="20" t="n"/>
      <c r="R184" s="21">
        <f>IF(OR(B184="",C184="Epic"),"",IF(Q184="",Settings!$B$3,Q184))</f>
        <v/>
      </c>
      <c r="S184" s="21">
        <f>IF(OR(R184="",P184="",N(L184)=0),"",R184-P184-Settings!$B$4)</f>
        <v/>
      </c>
      <c r="T184" s="17">
        <f>IF(S184="","",S184-TODAY())</f>
        <v/>
      </c>
      <c r="U184" s="14">
        <f>IF(OR(B184="",C184="Epic"),"",IF(N(L184)=0,IF(J184="","","ON HAND"),IF(OR(O184="Ordered",O184="Shipped",O184="Received"),O184,IF(S184="","NEED LEAD TIME",IF(T184&lt;0,"OVERDUE",IF(T184&lt;=Settings!$B$5,"ORDER SOON","OK"))))))</f>
        <v/>
      </c>
      <c r="V184" s="15" t="n"/>
    </row>
    <row r="185">
      <c r="A185" s="14">
        <f>IF(B185="","",IF(C185="Epic",IFERROR(INDEX(Lists!$A:$A,MATCH(B185,Lists!$B:$B,0)),"?"),1000+ROW()))</f>
        <v/>
      </c>
      <c r="B185" s="15" t="n"/>
      <c r="C185" s="15" t="n"/>
      <c r="D185" s="15" t="n"/>
      <c r="E185" s="14">
        <f>IF(OR(C185="Epic",D185=""),"",IFERROR(INDEX(Lists!$A:$A,MATCH(D185,Lists!$B:$B,0)),""))</f>
        <v/>
      </c>
      <c r="F185" s="15" t="n"/>
      <c r="G185" s="15" t="n"/>
      <c r="H185" s="15" t="n"/>
      <c r="I185" s="15" t="n"/>
      <c r="J185" s="16" t="n"/>
      <c r="K185" s="16" t="n"/>
      <c r="L185" s="17">
        <f>IF(OR(C185="Epic",J185=""),"",MAX(0,J185-N(K185)))</f>
        <v/>
      </c>
      <c r="M185" s="18" t="n"/>
      <c r="N185" s="19">
        <f>IF(OR(L185="",M185=""),"",L185*M185)</f>
        <v/>
      </c>
      <c r="O185" s="15" t="n"/>
      <c r="P185" s="16" t="n"/>
      <c r="Q185" s="20" t="n"/>
      <c r="R185" s="21">
        <f>IF(OR(B185="",C185="Epic"),"",IF(Q185="",Settings!$B$3,Q185))</f>
        <v/>
      </c>
      <c r="S185" s="21">
        <f>IF(OR(R185="",P185="",N(L185)=0),"",R185-P185-Settings!$B$4)</f>
        <v/>
      </c>
      <c r="T185" s="17">
        <f>IF(S185="","",S185-TODAY())</f>
        <v/>
      </c>
      <c r="U185" s="14">
        <f>IF(OR(B185="",C185="Epic"),"",IF(N(L185)=0,IF(J185="","","ON HAND"),IF(OR(O185="Ordered",O185="Shipped",O185="Received"),O185,IF(S185="","NEED LEAD TIME",IF(T185&lt;0,"OVERDUE",IF(T185&lt;=Settings!$B$5,"ORDER SOON","OK"))))))</f>
        <v/>
      </c>
      <c r="V185" s="15" t="n"/>
    </row>
    <row r="186">
      <c r="A186" s="14">
        <f>IF(B186="","",IF(C186="Epic",IFERROR(INDEX(Lists!$A:$A,MATCH(B186,Lists!$B:$B,0)),"?"),1000+ROW()))</f>
        <v/>
      </c>
      <c r="B186" s="15" t="n"/>
      <c r="C186" s="15" t="n"/>
      <c r="D186" s="15" t="n"/>
      <c r="E186" s="14">
        <f>IF(OR(C186="Epic",D186=""),"",IFERROR(INDEX(Lists!$A:$A,MATCH(D186,Lists!$B:$B,0)),""))</f>
        <v/>
      </c>
      <c r="F186" s="15" t="n"/>
      <c r="G186" s="15" t="n"/>
      <c r="H186" s="15" t="n"/>
      <c r="I186" s="15" t="n"/>
      <c r="J186" s="16" t="n"/>
      <c r="K186" s="16" t="n"/>
      <c r="L186" s="17">
        <f>IF(OR(C186="Epic",J186=""),"",MAX(0,J186-N(K186)))</f>
        <v/>
      </c>
      <c r="M186" s="18" t="n"/>
      <c r="N186" s="19">
        <f>IF(OR(L186="",M186=""),"",L186*M186)</f>
        <v/>
      </c>
      <c r="O186" s="15" t="n"/>
      <c r="P186" s="16" t="n"/>
      <c r="Q186" s="20" t="n"/>
      <c r="R186" s="21">
        <f>IF(OR(B186="",C186="Epic"),"",IF(Q186="",Settings!$B$3,Q186))</f>
        <v/>
      </c>
      <c r="S186" s="21">
        <f>IF(OR(R186="",P186="",N(L186)=0),"",R186-P186-Settings!$B$4)</f>
        <v/>
      </c>
      <c r="T186" s="17">
        <f>IF(S186="","",S186-TODAY())</f>
        <v/>
      </c>
      <c r="U186" s="14">
        <f>IF(OR(B186="",C186="Epic"),"",IF(N(L186)=0,IF(J186="","","ON HAND"),IF(OR(O186="Ordered",O186="Shipped",O186="Received"),O186,IF(S186="","NEED LEAD TIME",IF(T186&lt;0,"OVERDUE",IF(T186&lt;=Settings!$B$5,"ORDER SOON","OK"))))))</f>
        <v/>
      </c>
      <c r="V186" s="15" t="n"/>
    </row>
    <row r="187">
      <c r="A187" s="14">
        <f>IF(B187="","",IF(C187="Epic",IFERROR(INDEX(Lists!$A:$A,MATCH(B187,Lists!$B:$B,0)),"?"),1000+ROW()))</f>
        <v/>
      </c>
      <c r="B187" s="15" t="n"/>
      <c r="C187" s="15" t="n"/>
      <c r="D187" s="15" t="n"/>
      <c r="E187" s="14">
        <f>IF(OR(C187="Epic",D187=""),"",IFERROR(INDEX(Lists!$A:$A,MATCH(D187,Lists!$B:$B,0)),""))</f>
        <v/>
      </c>
      <c r="F187" s="15" t="n"/>
      <c r="G187" s="15" t="n"/>
      <c r="H187" s="15" t="n"/>
      <c r="I187" s="15" t="n"/>
      <c r="J187" s="16" t="n"/>
      <c r="K187" s="16" t="n"/>
      <c r="L187" s="17">
        <f>IF(OR(C187="Epic",J187=""),"",MAX(0,J187-N(K187)))</f>
        <v/>
      </c>
      <c r="M187" s="18" t="n"/>
      <c r="N187" s="19">
        <f>IF(OR(L187="",M187=""),"",L187*M187)</f>
        <v/>
      </c>
      <c r="O187" s="15" t="n"/>
      <c r="P187" s="16" t="n"/>
      <c r="Q187" s="20" t="n"/>
      <c r="R187" s="21">
        <f>IF(OR(B187="",C187="Epic"),"",IF(Q187="",Settings!$B$3,Q187))</f>
        <v/>
      </c>
      <c r="S187" s="21">
        <f>IF(OR(R187="",P187="",N(L187)=0),"",R187-P187-Settings!$B$4)</f>
        <v/>
      </c>
      <c r="T187" s="17">
        <f>IF(S187="","",S187-TODAY())</f>
        <v/>
      </c>
      <c r="U187" s="14">
        <f>IF(OR(B187="",C187="Epic"),"",IF(N(L187)=0,IF(J187="","","ON HAND"),IF(OR(O187="Ordered",O187="Shipped",O187="Received"),O187,IF(S187="","NEED LEAD TIME",IF(T187&lt;0,"OVERDUE",IF(T187&lt;=Settings!$B$5,"ORDER SOON","OK"))))))</f>
        <v/>
      </c>
      <c r="V187" s="15" t="n"/>
    </row>
    <row r="188">
      <c r="A188" s="14">
        <f>IF(B188="","",IF(C188="Epic",IFERROR(INDEX(Lists!$A:$A,MATCH(B188,Lists!$B:$B,0)),"?"),1000+ROW()))</f>
        <v/>
      </c>
      <c r="B188" s="15" t="n"/>
      <c r="C188" s="15" t="n"/>
      <c r="D188" s="15" t="n"/>
      <c r="E188" s="14">
        <f>IF(OR(C188="Epic",D188=""),"",IFERROR(INDEX(Lists!$A:$A,MATCH(D188,Lists!$B:$B,0)),""))</f>
        <v/>
      </c>
      <c r="F188" s="15" t="n"/>
      <c r="G188" s="15" t="n"/>
      <c r="H188" s="15" t="n"/>
      <c r="I188" s="15" t="n"/>
      <c r="J188" s="16" t="n"/>
      <c r="K188" s="16" t="n"/>
      <c r="L188" s="17">
        <f>IF(OR(C188="Epic",J188=""),"",MAX(0,J188-N(K188)))</f>
        <v/>
      </c>
      <c r="M188" s="18" t="n"/>
      <c r="N188" s="19">
        <f>IF(OR(L188="",M188=""),"",L188*M188)</f>
        <v/>
      </c>
      <c r="O188" s="15" t="n"/>
      <c r="P188" s="16" t="n"/>
      <c r="Q188" s="20" t="n"/>
      <c r="R188" s="21">
        <f>IF(OR(B188="",C188="Epic"),"",IF(Q188="",Settings!$B$3,Q188))</f>
        <v/>
      </c>
      <c r="S188" s="21">
        <f>IF(OR(R188="",P188="",N(L188)=0),"",R188-P188-Settings!$B$4)</f>
        <v/>
      </c>
      <c r="T188" s="17">
        <f>IF(S188="","",S188-TODAY())</f>
        <v/>
      </c>
      <c r="U188" s="14">
        <f>IF(OR(B188="",C188="Epic"),"",IF(N(L188)=0,IF(J188="","","ON HAND"),IF(OR(O188="Ordered",O188="Shipped",O188="Received"),O188,IF(S188="","NEED LEAD TIME",IF(T188&lt;0,"OVERDUE",IF(T188&lt;=Settings!$B$5,"ORDER SOON","OK"))))))</f>
        <v/>
      </c>
      <c r="V188" s="15" t="n"/>
    </row>
    <row r="189">
      <c r="A189" s="14">
        <f>IF(B189="","",IF(C189="Epic",IFERROR(INDEX(Lists!$A:$A,MATCH(B189,Lists!$B:$B,0)),"?"),1000+ROW()))</f>
        <v/>
      </c>
      <c r="B189" s="15" t="n"/>
      <c r="C189" s="15" t="n"/>
      <c r="D189" s="15" t="n"/>
      <c r="E189" s="14">
        <f>IF(OR(C189="Epic",D189=""),"",IFERROR(INDEX(Lists!$A:$A,MATCH(D189,Lists!$B:$B,0)),""))</f>
        <v/>
      </c>
      <c r="F189" s="15" t="n"/>
      <c r="G189" s="15" t="n"/>
      <c r="H189" s="15" t="n"/>
      <c r="I189" s="15" t="n"/>
      <c r="J189" s="16" t="n"/>
      <c r="K189" s="16" t="n"/>
      <c r="L189" s="17">
        <f>IF(OR(C189="Epic",J189=""),"",MAX(0,J189-N(K189)))</f>
        <v/>
      </c>
      <c r="M189" s="18" t="n"/>
      <c r="N189" s="19">
        <f>IF(OR(L189="",M189=""),"",L189*M189)</f>
        <v/>
      </c>
      <c r="O189" s="15" t="n"/>
      <c r="P189" s="16" t="n"/>
      <c r="Q189" s="20" t="n"/>
      <c r="R189" s="21">
        <f>IF(OR(B189="",C189="Epic"),"",IF(Q189="",Settings!$B$3,Q189))</f>
        <v/>
      </c>
      <c r="S189" s="21">
        <f>IF(OR(R189="",P189="",N(L189)=0),"",R189-P189-Settings!$B$4)</f>
        <v/>
      </c>
      <c r="T189" s="17">
        <f>IF(S189="","",S189-TODAY())</f>
        <v/>
      </c>
      <c r="U189" s="14">
        <f>IF(OR(B189="",C189="Epic"),"",IF(N(L189)=0,IF(J189="","","ON HAND"),IF(OR(O189="Ordered",O189="Shipped",O189="Received"),O189,IF(S189="","NEED LEAD TIME",IF(T189&lt;0,"OVERDUE",IF(T189&lt;=Settings!$B$5,"ORDER SOON","OK"))))))</f>
        <v/>
      </c>
      <c r="V189" s="15" t="n"/>
    </row>
    <row r="190">
      <c r="A190" s="14">
        <f>IF(B190="","",IF(C190="Epic",IFERROR(INDEX(Lists!$A:$A,MATCH(B190,Lists!$B:$B,0)),"?"),1000+ROW()))</f>
        <v/>
      </c>
      <c r="B190" s="15" t="n"/>
      <c r="C190" s="15" t="n"/>
      <c r="D190" s="15" t="n"/>
      <c r="E190" s="14">
        <f>IF(OR(C190="Epic",D190=""),"",IFERROR(INDEX(Lists!$A:$A,MATCH(D190,Lists!$B:$B,0)),""))</f>
        <v/>
      </c>
      <c r="F190" s="15" t="n"/>
      <c r="G190" s="15" t="n"/>
      <c r="H190" s="15" t="n"/>
      <c r="I190" s="15" t="n"/>
      <c r="J190" s="16" t="n"/>
      <c r="K190" s="16" t="n"/>
      <c r="L190" s="17">
        <f>IF(OR(C190="Epic",J190=""),"",MAX(0,J190-N(K190)))</f>
        <v/>
      </c>
      <c r="M190" s="18" t="n"/>
      <c r="N190" s="19">
        <f>IF(OR(L190="",M190=""),"",L190*M190)</f>
        <v/>
      </c>
      <c r="O190" s="15" t="n"/>
      <c r="P190" s="16" t="n"/>
      <c r="Q190" s="20" t="n"/>
      <c r="R190" s="21">
        <f>IF(OR(B190="",C190="Epic"),"",IF(Q190="",Settings!$B$3,Q190))</f>
        <v/>
      </c>
      <c r="S190" s="21">
        <f>IF(OR(R190="",P190="",N(L190)=0),"",R190-P190-Settings!$B$4)</f>
        <v/>
      </c>
      <c r="T190" s="17">
        <f>IF(S190="","",S190-TODAY())</f>
        <v/>
      </c>
      <c r="U190" s="14">
        <f>IF(OR(B190="",C190="Epic"),"",IF(N(L190)=0,IF(J190="","","ON HAND"),IF(OR(O190="Ordered",O190="Shipped",O190="Received"),O190,IF(S190="","NEED LEAD TIME",IF(T190&lt;0,"OVERDUE",IF(T190&lt;=Settings!$B$5,"ORDER SOON","OK"))))))</f>
        <v/>
      </c>
      <c r="V190" s="15" t="n"/>
    </row>
    <row r="191">
      <c r="A191" s="14">
        <f>IF(B191="","",IF(C191="Epic",IFERROR(INDEX(Lists!$A:$A,MATCH(B191,Lists!$B:$B,0)),"?"),1000+ROW()))</f>
        <v/>
      </c>
      <c r="B191" s="15" t="n"/>
      <c r="C191" s="15" t="n"/>
      <c r="D191" s="15" t="n"/>
      <c r="E191" s="14">
        <f>IF(OR(C191="Epic",D191=""),"",IFERROR(INDEX(Lists!$A:$A,MATCH(D191,Lists!$B:$B,0)),""))</f>
        <v/>
      </c>
      <c r="F191" s="15" t="n"/>
      <c r="G191" s="15" t="n"/>
      <c r="H191" s="15" t="n"/>
      <c r="I191" s="15" t="n"/>
      <c r="J191" s="16" t="n"/>
      <c r="K191" s="16" t="n"/>
      <c r="L191" s="17">
        <f>IF(OR(C191="Epic",J191=""),"",MAX(0,J191-N(K191)))</f>
        <v/>
      </c>
      <c r="M191" s="18" t="n"/>
      <c r="N191" s="19">
        <f>IF(OR(L191="",M191=""),"",L191*M191)</f>
        <v/>
      </c>
      <c r="O191" s="15" t="n"/>
      <c r="P191" s="16" t="n"/>
      <c r="Q191" s="20" t="n"/>
      <c r="R191" s="21">
        <f>IF(OR(B191="",C191="Epic"),"",IF(Q191="",Settings!$B$3,Q191))</f>
        <v/>
      </c>
      <c r="S191" s="21">
        <f>IF(OR(R191="",P191="",N(L191)=0),"",R191-P191-Settings!$B$4)</f>
        <v/>
      </c>
      <c r="T191" s="17">
        <f>IF(S191="","",S191-TODAY())</f>
        <v/>
      </c>
      <c r="U191" s="14">
        <f>IF(OR(B191="",C191="Epic"),"",IF(N(L191)=0,IF(J191="","","ON HAND"),IF(OR(O191="Ordered",O191="Shipped",O191="Received"),O191,IF(S191="","NEED LEAD TIME",IF(T191&lt;0,"OVERDUE",IF(T191&lt;=Settings!$B$5,"ORDER SOON","OK"))))))</f>
        <v/>
      </c>
      <c r="V191" s="15" t="n"/>
    </row>
    <row r="192">
      <c r="A192" s="14">
        <f>IF(B192="","",IF(C192="Epic",IFERROR(INDEX(Lists!$A:$A,MATCH(B192,Lists!$B:$B,0)),"?"),1000+ROW()))</f>
        <v/>
      </c>
      <c r="B192" s="15" t="n"/>
      <c r="C192" s="15" t="n"/>
      <c r="D192" s="15" t="n"/>
      <c r="E192" s="14">
        <f>IF(OR(C192="Epic",D192=""),"",IFERROR(INDEX(Lists!$A:$A,MATCH(D192,Lists!$B:$B,0)),""))</f>
        <v/>
      </c>
      <c r="F192" s="15" t="n"/>
      <c r="G192" s="15" t="n"/>
      <c r="H192" s="15" t="n"/>
      <c r="I192" s="15" t="n"/>
      <c r="J192" s="16" t="n"/>
      <c r="K192" s="16" t="n"/>
      <c r="L192" s="17">
        <f>IF(OR(C192="Epic",J192=""),"",MAX(0,J192-N(K192)))</f>
        <v/>
      </c>
      <c r="M192" s="18" t="n"/>
      <c r="N192" s="19">
        <f>IF(OR(L192="",M192=""),"",L192*M192)</f>
        <v/>
      </c>
      <c r="O192" s="15" t="n"/>
      <c r="P192" s="16" t="n"/>
      <c r="Q192" s="20" t="n"/>
      <c r="R192" s="21">
        <f>IF(OR(B192="",C192="Epic"),"",IF(Q192="",Settings!$B$3,Q192))</f>
        <v/>
      </c>
      <c r="S192" s="21">
        <f>IF(OR(R192="",P192="",N(L192)=0),"",R192-P192-Settings!$B$4)</f>
        <v/>
      </c>
      <c r="T192" s="17">
        <f>IF(S192="","",S192-TODAY())</f>
        <v/>
      </c>
      <c r="U192" s="14">
        <f>IF(OR(B192="",C192="Epic"),"",IF(N(L192)=0,IF(J192="","","ON HAND"),IF(OR(O192="Ordered",O192="Shipped",O192="Received"),O192,IF(S192="","NEED LEAD TIME",IF(T192&lt;0,"OVERDUE",IF(T192&lt;=Settings!$B$5,"ORDER SOON","OK"))))))</f>
        <v/>
      </c>
      <c r="V192" s="15" t="n"/>
    </row>
    <row r="193">
      <c r="A193" s="14">
        <f>IF(B193="","",IF(C193="Epic",IFERROR(INDEX(Lists!$A:$A,MATCH(B193,Lists!$B:$B,0)),"?"),1000+ROW()))</f>
        <v/>
      </c>
      <c r="B193" s="15" t="n"/>
      <c r="C193" s="15" t="n"/>
      <c r="D193" s="15" t="n"/>
      <c r="E193" s="14">
        <f>IF(OR(C193="Epic",D193=""),"",IFERROR(INDEX(Lists!$A:$A,MATCH(D193,Lists!$B:$B,0)),""))</f>
        <v/>
      </c>
      <c r="F193" s="15" t="n"/>
      <c r="G193" s="15" t="n"/>
      <c r="H193" s="15" t="n"/>
      <c r="I193" s="15" t="n"/>
      <c r="J193" s="16" t="n"/>
      <c r="K193" s="16" t="n"/>
      <c r="L193" s="17">
        <f>IF(OR(C193="Epic",J193=""),"",MAX(0,J193-N(K193)))</f>
        <v/>
      </c>
      <c r="M193" s="18" t="n"/>
      <c r="N193" s="19">
        <f>IF(OR(L193="",M193=""),"",L193*M193)</f>
        <v/>
      </c>
      <c r="O193" s="15" t="n"/>
      <c r="P193" s="16" t="n"/>
      <c r="Q193" s="20" t="n"/>
      <c r="R193" s="21">
        <f>IF(OR(B193="",C193="Epic"),"",IF(Q193="",Settings!$B$3,Q193))</f>
        <v/>
      </c>
      <c r="S193" s="21">
        <f>IF(OR(R193="",P193="",N(L193)=0),"",R193-P193-Settings!$B$4)</f>
        <v/>
      </c>
      <c r="T193" s="17">
        <f>IF(S193="","",S193-TODAY())</f>
        <v/>
      </c>
      <c r="U193" s="14">
        <f>IF(OR(B193="",C193="Epic"),"",IF(N(L193)=0,IF(J193="","","ON HAND"),IF(OR(O193="Ordered",O193="Shipped",O193="Received"),O193,IF(S193="","NEED LEAD TIME",IF(T193&lt;0,"OVERDUE",IF(T193&lt;=Settings!$B$5,"ORDER SOON","OK"))))))</f>
        <v/>
      </c>
      <c r="V193" s="15" t="n"/>
    </row>
    <row r="194">
      <c r="A194" s="14">
        <f>IF(B194="","",IF(C194="Epic",IFERROR(INDEX(Lists!$A:$A,MATCH(B194,Lists!$B:$B,0)),"?"),1000+ROW()))</f>
        <v/>
      </c>
      <c r="B194" s="15" t="n"/>
      <c r="C194" s="15" t="n"/>
      <c r="D194" s="15" t="n"/>
      <c r="E194" s="14">
        <f>IF(OR(C194="Epic",D194=""),"",IFERROR(INDEX(Lists!$A:$A,MATCH(D194,Lists!$B:$B,0)),""))</f>
        <v/>
      </c>
      <c r="F194" s="15" t="n"/>
      <c r="G194" s="15" t="n"/>
      <c r="H194" s="15" t="n"/>
      <c r="I194" s="15" t="n"/>
      <c r="J194" s="16" t="n"/>
      <c r="K194" s="16" t="n"/>
      <c r="L194" s="17">
        <f>IF(OR(C194="Epic",J194=""),"",MAX(0,J194-N(K194)))</f>
        <v/>
      </c>
      <c r="M194" s="18" t="n"/>
      <c r="N194" s="19">
        <f>IF(OR(L194="",M194=""),"",L194*M194)</f>
        <v/>
      </c>
      <c r="O194" s="15" t="n"/>
      <c r="P194" s="16" t="n"/>
      <c r="Q194" s="20" t="n"/>
      <c r="R194" s="21">
        <f>IF(OR(B194="",C194="Epic"),"",IF(Q194="",Settings!$B$3,Q194))</f>
        <v/>
      </c>
      <c r="S194" s="21">
        <f>IF(OR(R194="",P194="",N(L194)=0),"",R194-P194-Settings!$B$4)</f>
        <v/>
      </c>
      <c r="T194" s="17">
        <f>IF(S194="","",S194-TODAY())</f>
        <v/>
      </c>
      <c r="U194" s="14">
        <f>IF(OR(B194="",C194="Epic"),"",IF(N(L194)=0,IF(J194="","","ON HAND"),IF(OR(O194="Ordered",O194="Shipped",O194="Received"),O194,IF(S194="","NEED LEAD TIME",IF(T194&lt;0,"OVERDUE",IF(T194&lt;=Settings!$B$5,"ORDER SOON","OK"))))))</f>
        <v/>
      </c>
      <c r="V194" s="15" t="n"/>
    </row>
    <row r="195">
      <c r="A195" s="14">
        <f>IF(B195="","",IF(C195="Epic",IFERROR(INDEX(Lists!$A:$A,MATCH(B195,Lists!$B:$B,0)),"?"),1000+ROW()))</f>
        <v/>
      </c>
      <c r="B195" s="15" t="n"/>
      <c r="C195" s="15" t="n"/>
      <c r="D195" s="15" t="n"/>
      <c r="E195" s="14">
        <f>IF(OR(C195="Epic",D195=""),"",IFERROR(INDEX(Lists!$A:$A,MATCH(D195,Lists!$B:$B,0)),""))</f>
        <v/>
      </c>
      <c r="F195" s="15" t="n"/>
      <c r="G195" s="15" t="n"/>
      <c r="H195" s="15" t="n"/>
      <c r="I195" s="15" t="n"/>
      <c r="J195" s="16" t="n"/>
      <c r="K195" s="16" t="n"/>
      <c r="L195" s="17">
        <f>IF(OR(C195="Epic",J195=""),"",MAX(0,J195-N(K195)))</f>
        <v/>
      </c>
      <c r="M195" s="18" t="n"/>
      <c r="N195" s="19">
        <f>IF(OR(L195="",M195=""),"",L195*M195)</f>
        <v/>
      </c>
      <c r="O195" s="15" t="n"/>
      <c r="P195" s="16" t="n"/>
      <c r="Q195" s="20" t="n"/>
      <c r="R195" s="21">
        <f>IF(OR(B195="",C195="Epic"),"",IF(Q195="",Settings!$B$3,Q195))</f>
        <v/>
      </c>
      <c r="S195" s="21">
        <f>IF(OR(R195="",P195="",N(L195)=0),"",R195-P195-Settings!$B$4)</f>
        <v/>
      </c>
      <c r="T195" s="17">
        <f>IF(S195="","",S195-TODAY())</f>
        <v/>
      </c>
      <c r="U195" s="14">
        <f>IF(OR(B195="",C195="Epic"),"",IF(N(L195)=0,IF(J195="","","ON HAND"),IF(OR(O195="Ordered",O195="Shipped",O195="Received"),O195,IF(S195="","NEED LEAD TIME",IF(T195&lt;0,"OVERDUE",IF(T195&lt;=Settings!$B$5,"ORDER SOON","OK"))))))</f>
        <v/>
      </c>
      <c r="V195" s="15" t="n"/>
    </row>
    <row r="196">
      <c r="A196" s="14">
        <f>IF(B196="","",IF(C196="Epic",IFERROR(INDEX(Lists!$A:$A,MATCH(B196,Lists!$B:$B,0)),"?"),1000+ROW()))</f>
        <v/>
      </c>
      <c r="B196" s="15" t="n"/>
      <c r="C196" s="15" t="n"/>
      <c r="D196" s="15" t="n"/>
      <c r="E196" s="14">
        <f>IF(OR(C196="Epic",D196=""),"",IFERROR(INDEX(Lists!$A:$A,MATCH(D196,Lists!$B:$B,0)),""))</f>
        <v/>
      </c>
      <c r="F196" s="15" t="n"/>
      <c r="G196" s="15" t="n"/>
      <c r="H196" s="15" t="n"/>
      <c r="I196" s="15" t="n"/>
      <c r="J196" s="16" t="n"/>
      <c r="K196" s="16" t="n"/>
      <c r="L196" s="17">
        <f>IF(OR(C196="Epic",J196=""),"",MAX(0,J196-N(K196)))</f>
        <v/>
      </c>
      <c r="M196" s="18" t="n"/>
      <c r="N196" s="19">
        <f>IF(OR(L196="",M196=""),"",L196*M196)</f>
        <v/>
      </c>
      <c r="O196" s="15" t="n"/>
      <c r="P196" s="16" t="n"/>
      <c r="Q196" s="20" t="n"/>
      <c r="R196" s="21">
        <f>IF(OR(B196="",C196="Epic"),"",IF(Q196="",Settings!$B$3,Q196))</f>
        <v/>
      </c>
      <c r="S196" s="21">
        <f>IF(OR(R196="",P196="",N(L196)=0),"",R196-P196-Settings!$B$4)</f>
        <v/>
      </c>
      <c r="T196" s="17">
        <f>IF(S196="","",S196-TODAY())</f>
        <v/>
      </c>
      <c r="U196" s="14">
        <f>IF(OR(B196="",C196="Epic"),"",IF(N(L196)=0,IF(J196="","","ON HAND"),IF(OR(O196="Ordered",O196="Shipped",O196="Received"),O196,IF(S196="","NEED LEAD TIME",IF(T196&lt;0,"OVERDUE",IF(T196&lt;=Settings!$B$5,"ORDER SOON","OK"))))))</f>
        <v/>
      </c>
      <c r="V196" s="15" t="n"/>
    </row>
    <row r="197">
      <c r="A197" s="14">
        <f>IF(B197="","",IF(C197="Epic",IFERROR(INDEX(Lists!$A:$A,MATCH(B197,Lists!$B:$B,0)),"?"),1000+ROW()))</f>
        <v/>
      </c>
      <c r="B197" s="15" t="n"/>
      <c r="C197" s="15" t="n"/>
      <c r="D197" s="15" t="n"/>
      <c r="E197" s="14">
        <f>IF(OR(C197="Epic",D197=""),"",IFERROR(INDEX(Lists!$A:$A,MATCH(D197,Lists!$B:$B,0)),""))</f>
        <v/>
      </c>
      <c r="F197" s="15" t="n"/>
      <c r="G197" s="15" t="n"/>
      <c r="H197" s="15" t="n"/>
      <c r="I197" s="15" t="n"/>
      <c r="J197" s="16" t="n"/>
      <c r="K197" s="16" t="n"/>
      <c r="L197" s="17">
        <f>IF(OR(C197="Epic",J197=""),"",MAX(0,J197-N(K197)))</f>
        <v/>
      </c>
      <c r="M197" s="18" t="n"/>
      <c r="N197" s="19">
        <f>IF(OR(L197="",M197=""),"",L197*M197)</f>
        <v/>
      </c>
      <c r="O197" s="15" t="n"/>
      <c r="P197" s="16" t="n"/>
      <c r="Q197" s="20" t="n"/>
      <c r="R197" s="21">
        <f>IF(OR(B197="",C197="Epic"),"",IF(Q197="",Settings!$B$3,Q197))</f>
        <v/>
      </c>
      <c r="S197" s="21">
        <f>IF(OR(R197="",P197="",N(L197)=0),"",R197-P197-Settings!$B$4)</f>
        <v/>
      </c>
      <c r="T197" s="17">
        <f>IF(S197="","",S197-TODAY())</f>
        <v/>
      </c>
      <c r="U197" s="14">
        <f>IF(OR(B197="",C197="Epic"),"",IF(N(L197)=0,IF(J197="","","ON HAND"),IF(OR(O197="Ordered",O197="Shipped",O197="Received"),O197,IF(S197="","NEED LEAD TIME",IF(T197&lt;0,"OVERDUE",IF(T197&lt;=Settings!$B$5,"ORDER SOON","OK"))))))</f>
        <v/>
      </c>
      <c r="V197" s="15" t="n"/>
    </row>
    <row r="198">
      <c r="A198" s="14">
        <f>IF(B198="","",IF(C198="Epic",IFERROR(INDEX(Lists!$A:$A,MATCH(B198,Lists!$B:$B,0)),"?"),1000+ROW()))</f>
        <v/>
      </c>
      <c r="B198" s="15" t="n"/>
      <c r="C198" s="15" t="n"/>
      <c r="D198" s="15" t="n"/>
      <c r="E198" s="14">
        <f>IF(OR(C198="Epic",D198=""),"",IFERROR(INDEX(Lists!$A:$A,MATCH(D198,Lists!$B:$B,0)),""))</f>
        <v/>
      </c>
      <c r="F198" s="15" t="n"/>
      <c r="G198" s="15" t="n"/>
      <c r="H198" s="15" t="n"/>
      <c r="I198" s="15" t="n"/>
      <c r="J198" s="16" t="n"/>
      <c r="K198" s="16" t="n"/>
      <c r="L198" s="17">
        <f>IF(OR(C198="Epic",J198=""),"",MAX(0,J198-N(K198)))</f>
        <v/>
      </c>
      <c r="M198" s="18" t="n"/>
      <c r="N198" s="19">
        <f>IF(OR(L198="",M198=""),"",L198*M198)</f>
        <v/>
      </c>
      <c r="O198" s="15" t="n"/>
      <c r="P198" s="16" t="n"/>
      <c r="Q198" s="20" t="n"/>
      <c r="R198" s="21">
        <f>IF(OR(B198="",C198="Epic"),"",IF(Q198="",Settings!$B$3,Q198))</f>
        <v/>
      </c>
      <c r="S198" s="21">
        <f>IF(OR(R198="",P198="",N(L198)=0),"",R198-P198-Settings!$B$4)</f>
        <v/>
      </c>
      <c r="T198" s="17">
        <f>IF(S198="","",S198-TODAY())</f>
        <v/>
      </c>
      <c r="U198" s="14">
        <f>IF(OR(B198="",C198="Epic"),"",IF(N(L198)=0,IF(J198="","","ON HAND"),IF(OR(O198="Ordered",O198="Shipped",O198="Received"),O198,IF(S198="","NEED LEAD TIME",IF(T198&lt;0,"OVERDUE",IF(T198&lt;=Settings!$B$5,"ORDER SOON","OK"))))))</f>
        <v/>
      </c>
      <c r="V198" s="15" t="n"/>
    </row>
    <row r="199">
      <c r="A199" s="14">
        <f>IF(B199="","",IF(C199="Epic",IFERROR(INDEX(Lists!$A:$A,MATCH(B199,Lists!$B:$B,0)),"?"),1000+ROW()))</f>
        <v/>
      </c>
      <c r="B199" s="15" t="n"/>
      <c r="C199" s="15" t="n"/>
      <c r="D199" s="15" t="n"/>
      <c r="E199" s="14">
        <f>IF(OR(C199="Epic",D199=""),"",IFERROR(INDEX(Lists!$A:$A,MATCH(D199,Lists!$B:$B,0)),""))</f>
        <v/>
      </c>
      <c r="F199" s="15" t="n"/>
      <c r="G199" s="15" t="n"/>
      <c r="H199" s="15" t="n"/>
      <c r="I199" s="15" t="n"/>
      <c r="J199" s="16" t="n"/>
      <c r="K199" s="16" t="n"/>
      <c r="L199" s="17">
        <f>IF(OR(C199="Epic",J199=""),"",MAX(0,J199-N(K199)))</f>
        <v/>
      </c>
      <c r="M199" s="18" t="n"/>
      <c r="N199" s="19">
        <f>IF(OR(L199="",M199=""),"",L199*M199)</f>
        <v/>
      </c>
      <c r="O199" s="15" t="n"/>
      <c r="P199" s="16" t="n"/>
      <c r="Q199" s="20" t="n"/>
      <c r="R199" s="21">
        <f>IF(OR(B199="",C199="Epic"),"",IF(Q199="",Settings!$B$3,Q199))</f>
        <v/>
      </c>
      <c r="S199" s="21">
        <f>IF(OR(R199="",P199="",N(L199)=0),"",R199-P199-Settings!$B$4)</f>
        <v/>
      </c>
      <c r="T199" s="17">
        <f>IF(S199="","",S199-TODAY())</f>
        <v/>
      </c>
      <c r="U199" s="14">
        <f>IF(OR(B199="",C199="Epic"),"",IF(N(L199)=0,IF(J199="","","ON HAND"),IF(OR(O199="Ordered",O199="Shipped",O199="Received"),O199,IF(S199="","NEED LEAD TIME",IF(T199&lt;0,"OVERDUE",IF(T199&lt;=Settings!$B$5,"ORDER SOON","OK"))))))</f>
        <v/>
      </c>
      <c r="V199" s="15" t="n"/>
    </row>
    <row r="200">
      <c r="A200" s="14">
        <f>IF(B200="","",IF(C200="Epic",IFERROR(INDEX(Lists!$A:$A,MATCH(B200,Lists!$B:$B,0)),"?"),1000+ROW()))</f>
        <v/>
      </c>
      <c r="B200" s="15" t="n"/>
      <c r="C200" s="15" t="n"/>
      <c r="D200" s="15" t="n"/>
      <c r="E200" s="14">
        <f>IF(OR(C200="Epic",D200=""),"",IFERROR(INDEX(Lists!$A:$A,MATCH(D200,Lists!$B:$B,0)),""))</f>
        <v/>
      </c>
      <c r="F200" s="15" t="n"/>
      <c r="G200" s="15" t="n"/>
      <c r="H200" s="15" t="n"/>
      <c r="I200" s="15" t="n"/>
      <c r="J200" s="16" t="n"/>
      <c r="K200" s="16" t="n"/>
      <c r="L200" s="17">
        <f>IF(OR(C200="Epic",J200=""),"",MAX(0,J200-N(K200)))</f>
        <v/>
      </c>
      <c r="M200" s="18" t="n"/>
      <c r="N200" s="19">
        <f>IF(OR(L200="",M200=""),"",L200*M200)</f>
        <v/>
      </c>
      <c r="O200" s="15" t="n"/>
      <c r="P200" s="16" t="n"/>
      <c r="Q200" s="20" t="n"/>
      <c r="R200" s="21">
        <f>IF(OR(B200="",C200="Epic"),"",IF(Q200="",Settings!$B$3,Q200))</f>
        <v/>
      </c>
      <c r="S200" s="21">
        <f>IF(OR(R200="",P200="",N(L200)=0),"",R200-P200-Settings!$B$4)</f>
        <v/>
      </c>
      <c r="T200" s="17">
        <f>IF(S200="","",S200-TODAY())</f>
        <v/>
      </c>
      <c r="U200" s="14">
        <f>IF(OR(B200="",C200="Epic"),"",IF(N(L200)=0,IF(J200="","","ON HAND"),IF(OR(O200="Ordered",O200="Shipped",O200="Received"),O200,IF(S200="","NEED LEAD TIME",IF(T200&lt;0,"OVERDUE",IF(T200&lt;=Settings!$B$5,"ORDER SOON","OK"))))))</f>
        <v/>
      </c>
      <c r="V200" s="15" t="n"/>
    </row>
    <row r="201">
      <c r="A201" s="14">
        <f>IF(B201="","",IF(C201="Epic",IFERROR(INDEX(Lists!$A:$A,MATCH(B201,Lists!$B:$B,0)),"?"),1000+ROW()))</f>
        <v/>
      </c>
      <c r="B201" s="15" t="n"/>
      <c r="C201" s="15" t="n"/>
      <c r="D201" s="15" t="n"/>
      <c r="E201" s="14">
        <f>IF(OR(C201="Epic",D201=""),"",IFERROR(INDEX(Lists!$A:$A,MATCH(D201,Lists!$B:$B,0)),""))</f>
        <v/>
      </c>
      <c r="F201" s="15" t="n"/>
      <c r="G201" s="15" t="n"/>
      <c r="H201" s="15" t="n"/>
      <c r="I201" s="15" t="n"/>
      <c r="J201" s="16" t="n"/>
      <c r="K201" s="16" t="n"/>
      <c r="L201" s="17">
        <f>IF(OR(C201="Epic",J201=""),"",MAX(0,J201-N(K201)))</f>
        <v/>
      </c>
      <c r="M201" s="18" t="n"/>
      <c r="N201" s="19">
        <f>IF(OR(L201="",M201=""),"",L201*M201)</f>
        <v/>
      </c>
      <c r="O201" s="15" t="n"/>
      <c r="P201" s="16" t="n"/>
      <c r="Q201" s="20" t="n"/>
      <c r="R201" s="21">
        <f>IF(OR(B201="",C201="Epic"),"",IF(Q201="",Settings!$B$3,Q201))</f>
        <v/>
      </c>
      <c r="S201" s="21">
        <f>IF(OR(R201="",P201="",N(L201)=0),"",R201-P201-Settings!$B$4)</f>
        <v/>
      </c>
      <c r="T201" s="17">
        <f>IF(S201="","",S201-TODAY())</f>
        <v/>
      </c>
      <c r="U201" s="14">
        <f>IF(OR(B201="",C201="Epic"),"",IF(N(L201)=0,IF(J201="","","ON HAND"),IF(OR(O201="Ordered",O201="Shipped",O201="Received"),O201,IF(S201="","NEED LEAD TIME",IF(T201&lt;0,"OVERDUE",IF(T201&lt;=Settings!$B$5,"ORDER SOON","OK"))))))</f>
        <v/>
      </c>
      <c r="V201" s="15" t="n"/>
    </row>
    <row r="202">
      <c r="A202" s="14">
        <f>IF(B202="","",IF(C202="Epic",IFERROR(INDEX(Lists!$A:$A,MATCH(B202,Lists!$B:$B,0)),"?"),1000+ROW()))</f>
        <v/>
      </c>
      <c r="B202" s="15" t="n"/>
      <c r="C202" s="15" t="n"/>
      <c r="D202" s="15" t="n"/>
      <c r="E202" s="14">
        <f>IF(OR(C202="Epic",D202=""),"",IFERROR(INDEX(Lists!$A:$A,MATCH(D202,Lists!$B:$B,0)),""))</f>
        <v/>
      </c>
      <c r="F202" s="15" t="n"/>
      <c r="G202" s="15" t="n"/>
      <c r="H202" s="15" t="n"/>
      <c r="I202" s="15" t="n"/>
      <c r="J202" s="16" t="n"/>
      <c r="K202" s="16" t="n"/>
      <c r="L202" s="17">
        <f>IF(OR(C202="Epic",J202=""),"",MAX(0,J202-N(K202)))</f>
        <v/>
      </c>
      <c r="M202" s="18" t="n"/>
      <c r="N202" s="19">
        <f>IF(OR(L202="",M202=""),"",L202*M202)</f>
        <v/>
      </c>
      <c r="O202" s="15" t="n"/>
      <c r="P202" s="16" t="n"/>
      <c r="Q202" s="20" t="n"/>
      <c r="R202" s="21">
        <f>IF(OR(B202="",C202="Epic"),"",IF(Q202="",Settings!$B$3,Q202))</f>
        <v/>
      </c>
      <c r="S202" s="21">
        <f>IF(OR(R202="",P202="",N(L202)=0),"",R202-P202-Settings!$B$4)</f>
        <v/>
      </c>
      <c r="T202" s="17">
        <f>IF(S202="","",S202-TODAY())</f>
        <v/>
      </c>
      <c r="U202" s="14">
        <f>IF(OR(B202="",C202="Epic"),"",IF(N(L202)=0,IF(J202="","","ON HAND"),IF(OR(O202="Ordered",O202="Shipped",O202="Received"),O202,IF(S202="","NEED LEAD TIME",IF(T202&lt;0,"OVERDUE",IF(T202&lt;=Settings!$B$5,"ORDER SOON","OK"))))))</f>
        <v/>
      </c>
      <c r="V202" s="15" t="n"/>
    </row>
    <row r="203">
      <c r="A203" s="14">
        <f>IF(B203="","",IF(C203="Epic",IFERROR(INDEX(Lists!$A:$A,MATCH(B203,Lists!$B:$B,0)),"?"),1000+ROW()))</f>
        <v/>
      </c>
      <c r="B203" s="15" t="n"/>
      <c r="C203" s="15" t="n"/>
      <c r="D203" s="15" t="n"/>
      <c r="E203" s="14">
        <f>IF(OR(C203="Epic",D203=""),"",IFERROR(INDEX(Lists!$A:$A,MATCH(D203,Lists!$B:$B,0)),""))</f>
        <v/>
      </c>
      <c r="F203" s="15" t="n"/>
      <c r="G203" s="15" t="n"/>
      <c r="H203" s="15" t="n"/>
      <c r="I203" s="15" t="n"/>
      <c r="J203" s="16" t="n"/>
      <c r="K203" s="16" t="n"/>
      <c r="L203" s="17">
        <f>IF(OR(C203="Epic",J203=""),"",MAX(0,J203-N(K203)))</f>
        <v/>
      </c>
      <c r="M203" s="18" t="n"/>
      <c r="N203" s="19">
        <f>IF(OR(L203="",M203=""),"",L203*M203)</f>
        <v/>
      </c>
      <c r="O203" s="15" t="n"/>
      <c r="P203" s="16" t="n"/>
      <c r="Q203" s="20" t="n"/>
      <c r="R203" s="21">
        <f>IF(OR(B203="",C203="Epic"),"",IF(Q203="",Settings!$B$3,Q203))</f>
        <v/>
      </c>
      <c r="S203" s="21">
        <f>IF(OR(R203="",P203="",N(L203)=0),"",R203-P203-Settings!$B$4)</f>
        <v/>
      </c>
      <c r="T203" s="17">
        <f>IF(S203="","",S203-TODAY())</f>
        <v/>
      </c>
      <c r="U203" s="14">
        <f>IF(OR(B203="",C203="Epic"),"",IF(N(L203)=0,IF(J203="","","ON HAND"),IF(OR(O203="Ordered",O203="Shipped",O203="Received"),O203,IF(S203="","NEED LEAD TIME",IF(T203&lt;0,"OVERDUE",IF(T203&lt;=Settings!$B$5,"ORDER SOON","OK"))))))</f>
        <v/>
      </c>
      <c r="V203" s="15" t="n"/>
    </row>
    <row r="204">
      <c r="A204" s="14">
        <f>IF(B204="","",IF(C204="Epic",IFERROR(INDEX(Lists!$A:$A,MATCH(B204,Lists!$B:$B,0)),"?"),1000+ROW()))</f>
        <v/>
      </c>
      <c r="B204" s="15" t="n"/>
      <c r="C204" s="15" t="n"/>
      <c r="D204" s="15" t="n"/>
      <c r="E204" s="14">
        <f>IF(OR(C204="Epic",D204=""),"",IFERROR(INDEX(Lists!$A:$A,MATCH(D204,Lists!$B:$B,0)),""))</f>
        <v/>
      </c>
      <c r="F204" s="15" t="n"/>
      <c r="G204" s="15" t="n"/>
      <c r="H204" s="15" t="n"/>
      <c r="I204" s="15" t="n"/>
      <c r="J204" s="16" t="n"/>
      <c r="K204" s="16" t="n"/>
      <c r="L204" s="17">
        <f>IF(OR(C204="Epic",J204=""),"",MAX(0,J204-N(K204)))</f>
        <v/>
      </c>
      <c r="M204" s="18" t="n"/>
      <c r="N204" s="19">
        <f>IF(OR(L204="",M204=""),"",L204*M204)</f>
        <v/>
      </c>
      <c r="O204" s="15" t="n"/>
      <c r="P204" s="16" t="n"/>
      <c r="Q204" s="20" t="n"/>
      <c r="R204" s="21">
        <f>IF(OR(B204="",C204="Epic"),"",IF(Q204="",Settings!$B$3,Q204))</f>
        <v/>
      </c>
      <c r="S204" s="21">
        <f>IF(OR(R204="",P204="",N(L204)=0),"",R204-P204-Settings!$B$4)</f>
        <v/>
      </c>
      <c r="T204" s="17">
        <f>IF(S204="","",S204-TODAY())</f>
        <v/>
      </c>
      <c r="U204" s="14">
        <f>IF(OR(B204="",C204="Epic"),"",IF(N(L204)=0,IF(J204="","","ON HAND"),IF(OR(O204="Ordered",O204="Shipped",O204="Received"),O204,IF(S204="","NEED LEAD TIME",IF(T204&lt;0,"OVERDUE",IF(T204&lt;=Settings!$B$5,"ORDER SOON","OK"))))))</f>
        <v/>
      </c>
      <c r="V204" s="15" t="n"/>
    </row>
    <row r="205">
      <c r="A205" s="14">
        <f>IF(B205="","",IF(C205="Epic",IFERROR(INDEX(Lists!$A:$A,MATCH(B205,Lists!$B:$B,0)),"?"),1000+ROW()))</f>
        <v/>
      </c>
      <c r="B205" s="15" t="n"/>
      <c r="C205" s="15" t="n"/>
      <c r="D205" s="15" t="n"/>
      <c r="E205" s="14">
        <f>IF(OR(C205="Epic",D205=""),"",IFERROR(INDEX(Lists!$A:$A,MATCH(D205,Lists!$B:$B,0)),""))</f>
        <v/>
      </c>
      <c r="F205" s="15" t="n"/>
      <c r="G205" s="15" t="n"/>
      <c r="H205" s="15" t="n"/>
      <c r="I205" s="15" t="n"/>
      <c r="J205" s="16" t="n"/>
      <c r="K205" s="16" t="n"/>
      <c r="L205" s="17">
        <f>IF(OR(C205="Epic",J205=""),"",MAX(0,J205-N(K205)))</f>
        <v/>
      </c>
      <c r="M205" s="18" t="n"/>
      <c r="N205" s="19">
        <f>IF(OR(L205="",M205=""),"",L205*M205)</f>
        <v/>
      </c>
      <c r="O205" s="15" t="n"/>
      <c r="P205" s="16" t="n"/>
      <c r="Q205" s="20" t="n"/>
      <c r="R205" s="21">
        <f>IF(OR(B205="",C205="Epic"),"",IF(Q205="",Settings!$B$3,Q205))</f>
        <v/>
      </c>
      <c r="S205" s="21">
        <f>IF(OR(R205="",P205="",N(L205)=0),"",R205-P205-Settings!$B$4)</f>
        <v/>
      </c>
      <c r="T205" s="17">
        <f>IF(S205="","",S205-TODAY())</f>
        <v/>
      </c>
      <c r="U205" s="14">
        <f>IF(OR(B205="",C205="Epic"),"",IF(N(L205)=0,IF(J205="","","ON HAND"),IF(OR(O205="Ordered",O205="Shipped",O205="Received"),O205,IF(S205="","NEED LEAD TIME",IF(T205&lt;0,"OVERDUE",IF(T205&lt;=Settings!$B$5,"ORDER SOON","OK"))))))</f>
        <v/>
      </c>
      <c r="V205" s="15" t="n"/>
    </row>
    <row r="206">
      <c r="A206" s="14">
        <f>IF(B206="","",IF(C206="Epic",IFERROR(INDEX(Lists!$A:$A,MATCH(B206,Lists!$B:$B,0)),"?"),1000+ROW()))</f>
        <v/>
      </c>
      <c r="B206" s="15" t="n"/>
      <c r="C206" s="15" t="n"/>
      <c r="D206" s="15" t="n"/>
      <c r="E206" s="14">
        <f>IF(OR(C206="Epic",D206=""),"",IFERROR(INDEX(Lists!$A:$A,MATCH(D206,Lists!$B:$B,0)),""))</f>
        <v/>
      </c>
      <c r="F206" s="15" t="n"/>
      <c r="G206" s="15" t="n"/>
      <c r="H206" s="15" t="n"/>
      <c r="I206" s="15" t="n"/>
      <c r="J206" s="16" t="n"/>
      <c r="K206" s="16" t="n"/>
      <c r="L206" s="17">
        <f>IF(OR(C206="Epic",J206=""),"",MAX(0,J206-N(K206)))</f>
        <v/>
      </c>
      <c r="M206" s="18" t="n"/>
      <c r="N206" s="19">
        <f>IF(OR(L206="",M206=""),"",L206*M206)</f>
        <v/>
      </c>
      <c r="O206" s="15" t="n"/>
      <c r="P206" s="16" t="n"/>
      <c r="Q206" s="20" t="n"/>
      <c r="R206" s="21">
        <f>IF(OR(B206="",C206="Epic"),"",IF(Q206="",Settings!$B$3,Q206))</f>
        <v/>
      </c>
      <c r="S206" s="21">
        <f>IF(OR(R206="",P206="",N(L206)=0),"",R206-P206-Settings!$B$4)</f>
        <v/>
      </c>
      <c r="T206" s="17">
        <f>IF(S206="","",S206-TODAY())</f>
        <v/>
      </c>
      <c r="U206" s="14">
        <f>IF(OR(B206="",C206="Epic"),"",IF(N(L206)=0,IF(J206="","","ON HAND"),IF(OR(O206="Ordered",O206="Shipped",O206="Received"),O206,IF(S206="","NEED LEAD TIME",IF(T206&lt;0,"OVERDUE",IF(T206&lt;=Settings!$B$5,"ORDER SOON","OK"))))))</f>
        <v/>
      </c>
      <c r="V206" s="15" t="n"/>
    </row>
    <row r="207">
      <c r="A207" s="14">
        <f>IF(B207="","",IF(C207="Epic",IFERROR(INDEX(Lists!$A:$A,MATCH(B207,Lists!$B:$B,0)),"?"),1000+ROW()))</f>
        <v/>
      </c>
      <c r="B207" s="15" t="n"/>
      <c r="C207" s="15" t="n"/>
      <c r="D207" s="15" t="n"/>
      <c r="E207" s="14">
        <f>IF(OR(C207="Epic",D207=""),"",IFERROR(INDEX(Lists!$A:$A,MATCH(D207,Lists!$B:$B,0)),""))</f>
        <v/>
      </c>
      <c r="F207" s="15" t="n"/>
      <c r="G207" s="15" t="n"/>
      <c r="H207" s="15" t="n"/>
      <c r="I207" s="15" t="n"/>
      <c r="J207" s="16" t="n"/>
      <c r="K207" s="16" t="n"/>
      <c r="L207" s="17">
        <f>IF(OR(C207="Epic",J207=""),"",MAX(0,J207-N(K207)))</f>
        <v/>
      </c>
      <c r="M207" s="18" t="n"/>
      <c r="N207" s="19">
        <f>IF(OR(L207="",M207=""),"",L207*M207)</f>
        <v/>
      </c>
      <c r="O207" s="15" t="n"/>
      <c r="P207" s="16" t="n"/>
      <c r="Q207" s="20" t="n"/>
      <c r="R207" s="21">
        <f>IF(OR(B207="",C207="Epic"),"",IF(Q207="",Settings!$B$3,Q207))</f>
        <v/>
      </c>
      <c r="S207" s="21">
        <f>IF(OR(R207="",P207="",N(L207)=0),"",R207-P207-Settings!$B$4)</f>
        <v/>
      </c>
      <c r="T207" s="17">
        <f>IF(S207="","",S207-TODAY())</f>
        <v/>
      </c>
      <c r="U207" s="14">
        <f>IF(OR(B207="",C207="Epic"),"",IF(N(L207)=0,IF(J207="","","ON HAND"),IF(OR(O207="Ordered",O207="Shipped",O207="Received"),O207,IF(S207="","NEED LEAD TIME",IF(T207&lt;0,"OVERDUE",IF(T207&lt;=Settings!$B$5,"ORDER SOON","OK"))))))</f>
        <v/>
      </c>
      <c r="V207" s="15" t="n"/>
    </row>
    <row r="208">
      <c r="A208" s="14">
        <f>IF(B208="","",IF(C208="Epic",IFERROR(INDEX(Lists!$A:$A,MATCH(B208,Lists!$B:$B,0)),"?"),1000+ROW()))</f>
        <v/>
      </c>
      <c r="B208" s="15" t="n"/>
      <c r="C208" s="15" t="n"/>
      <c r="D208" s="15" t="n"/>
      <c r="E208" s="14">
        <f>IF(OR(C208="Epic",D208=""),"",IFERROR(INDEX(Lists!$A:$A,MATCH(D208,Lists!$B:$B,0)),""))</f>
        <v/>
      </c>
      <c r="F208" s="15" t="n"/>
      <c r="G208" s="15" t="n"/>
      <c r="H208" s="15" t="n"/>
      <c r="I208" s="15" t="n"/>
      <c r="J208" s="16" t="n"/>
      <c r="K208" s="16" t="n"/>
      <c r="L208" s="17">
        <f>IF(OR(C208="Epic",J208=""),"",MAX(0,J208-N(K208)))</f>
        <v/>
      </c>
      <c r="M208" s="18" t="n"/>
      <c r="N208" s="19">
        <f>IF(OR(L208="",M208=""),"",L208*M208)</f>
        <v/>
      </c>
      <c r="O208" s="15" t="n"/>
      <c r="P208" s="16" t="n"/>
      <c r="Q208" s="20" t="n"/>
      <c r="R208" s="21">
        <f>IF(OR(B208="",C208="Epic"),"",IF(Q208="",Settings!$B$3,Q208))</f>
        <v/>
      </c>
      <c r="S208" s="21">
        <f>IF(OR(R208="",P208="",N(L208)=0),"",R208-P208-Settings!$B$4)</f>
        <v/>
      </c>
      <c r="T208" s="17">
        <f>IF(S208="","",S208-TODAY())</f>
        <v/>
      </c>
      <c r="U208" s="14">
        <f>IF(OR(B208="",C208="Epic"),"",IF(N(L208)=0,IF(J208="","","ON HAND"),IF(OR(O208="Ordered",O208="Shipped",O208="Received"),O208,IF(S208="","NEED LEAD TIME",IF(T208&lt;0,"OVERDUE",IF(T208&lt;=Settings!$B$5,"ORDER SOON","OK"))))))</f>
        <v/>
      </c>
      <c r="V208" s="15" t="n"/>
    </row>
    <row r="209">
      <c r="A209" s="14">
        <f>IF(B209="","",IF(C209="Epic",IFERROR(INDEX(Lists!$A:$A,MATCH(B209,Lists!$B:$B,0)),"?"),1000+ROW()))</f>
        <v/>
      </c>
      <c r="B209" s="15" t="n"/>
      <c r="C209" s="15" t="n"/>
      <c r="D209" s="15" t="n"/>
      <c r="E209" s="14">
        <f>IF(OR(C209="Epic",D209=""),"",IFERROR(INDEX(Lists!$A:$A,MATCH(D209,Lists!$B:$B,0)),""))</f>
        <v/>
      </c>
      <c r="F209" s="15" t="n"/>
      <c r="G209" s="15" t="n"/>
      <c r="H209" s="15" t="n"/>
      <c r="I209" s="15" t="n"/>
      <c r="J209" s="16" t="n"/>
      <c r="K209" s="16" t="n"/>
      <c r="L209" s="17">
        <f>IF(OR(C209="Epic",J209=""),"",MAX(0,J209-N(K209)))</f>
        <v/>
      </c>
      <c r="M209" s="18" t="n"/>
      <c r="N209" s="19">
        <f>IF(OR(L209="",M209=""),"",L209*M209)</f>
        <v/>
      </c>
      <c r="O209" s="15" t="n"/>
      <c r="P209" s="16" t="n"/>
      <c r="Q209" s="20" t="n"/>
      <c r="R209" s="21">
        <f>IF(OR(B209="",C209="Epic"),"",IF(Q209="",Settings!$B$3,Q209))</f>
        <v/>
      </c>
      <c r="S209" s="21">
        <f>IF(OR(R209="",P209="",N(L209)=0),"",R209-P209-Settings!$B$4)</f>
        <v/>
      </c>
      <c r="T209" s="17">
        <f>IF(S209="","",S209-TODAY())</f>
        <v/>
      </c>
      <c r="U209" s="14">
        <f>IF(OR(B209="",C209="Epic"),"",IF(N(L209)=0,IF(J209="","","ON HAND"),IF(OR(O209="Ordered",O209="Shipped",O209="Received"),O209,IF(S209="","NEED LEAD TIME",IF(T209&lt;0,"OVERDUE",IF(T209&lt;=Settings!$B$5,"ORDER SOON","OK"))))))</f>
        <v/>
      </c>
      <c r="V209" s="15" t="n"/>
    </row>
    <row r="210">
      <c r="A210" s="14">
        <f>IF(B210="","",IF(C210="Epic",IFERROR(INDEX(Lists!$A:$A,MATCH(B210,Lists!$B:$B,0)),"?"),1000+ROW()))</f>
        <v/>
      </c>
      <c r="B210" s="15" t="n"/>
      <c r="C210" s="15" t="n"/>
      <c r="D210" s="15" t="n"/>
      <c r="E210" s="14">
        <f>IF(OR(C210="Epic",D210=""),"",IFERROR(INDEX(Lists!$A:$A,MATCH(D210,Lists!$B:$B,0)),""))</f>
        <v/>
      </c>
      <c r="F210" s="15" t="n"/>
      <c r="G210" s="15" t="n"/>
      <c r="H210" s="15" t="n"/>
      <c r="I210" s="15" t="n"/>
      <c r="J210" s="16" t="n"/>
      <c r="K210" s="16" t="n"/>
      <c r="L210" s="17">
        <f>IF(OR(C210="Epic",J210=""),"",MAX(0,J210-N(K210)))</f>
        <v/>
      </c>
      <c r="M210" s="18" t="n"/>
      <c r="N210" s="19">
        <f>IF(OR(L210="",M210=""),"",L210*M210)</f>
        <v/>
      </c>
      <c r="O210" s="15" t="n"/>
      <c r="P210" s="16" t="n"/>
      <c r="Q210" s="20" t="n"/>
      <c r="R210" s="21">
        <f>IF(OR(B210="",C210="Epic"),"",IF(Q210="",Settings!$B$3,Q210))</f>
        <v/>
      </c>
      <c r="S210" s="21">
        <f>IF(OR(R210="",P210="",N(L210)=0),"",R210-P210-Settings!$B$4)</f>
        <v/>
      </c>
      <c r="T210" s="17">
        <f>IF(S210="","",S210-TODAY())</f>
        <v/>
      </c>
      <c r="U210" s="14">
        <f>IF(OR(B210="",C210="Epic"),"",IF(N(L210)=0,IF(J210="","","ON HAND"),IF(OR(O210="Ordered",O210="Shipped",O210="Received"),O210,IF(S210="","NEED LEAD TIME",IF(T210&lt;0,"OVERDUE",IF(T210&lt;=Settings!$B$5,"ORDER SOON","OK"))))))</f>
        <v/>
      </c>
      <c r="V210" s="15" t="n"/>
    </row>
    <row r="211">
      <c r="A211" s="14">
        <f>IF(B211="","",IF(C211="Epic",IFERROR(INDEX(Lists!$A:$A,MATCH(B211,Lists!$B:$B,0)),"?"),1000+ROW()))</f>
        <v/>
      </c>
      <c r="B211" s="15" t="n"/>
      <c r="C211" s="15" t="n"/>
      <c r="D211" s="15" t="n"/>
      <c r="E211" s="14">
        <f>IF(OR(C211="Epic",D211=""),"",IFERROR(INDEX(Lists!$A:$A,MATCH(D211,Lists!$B:$B,0)),""))</f>
        <v/>
      </c>
      <c r="F211" s="15" t="n"/>
      <c r="G211" s="15" t="n"/>
      <c r="H211" s="15" t="n"/>
      <c r="I211" s="15" t="n"/>
      <c r="J211" s="16" t="n"/>
      <c r="K211" s="16" t="n"/>
      <c r="L211" s="17">
        <f>IF(OR(C211="Epic",J211=""),"",MAX(0,J211-N(K211)))</f>
        <v/>
      </c>
      <c r="M211" s="18" t="n"/>
      <c r="N211" s="19">
        <f>IF(OR(L211="",M211=""),"",L211*M211)</f>
        <v/>
      </c>
      <c r="O211" s="15" t="n"/>
      <c r="P211" s="16" t="n"/>
      <c r="Q211" s="20" t="n"/>
      <c r="R211" s="21">
        <f>IF(OR(B211="",C211="Epic"),"",IF(Q211="",Settings!$B$3,Q211))</f>
        <v/>
      </c>
      <c r="S211" s="21">
        <f>IF(OR(R211="",P211="",N(L211)=0),"",R211-P211-Settings!$B$4)</f>
        <v/>
      </c>
      <c r="T211" s="17">
        <f>IF(S211="","",S211-TODAY())</f>
        <v/>
      </c>
      <c r="U211" s="14">
        <f>IF(OR(B211="",C211="Epic"),"",IF(N(L211)=0,IF(J211="","","ON HAND"),IF(OR(O211="Ordered",O211="Shipped",O211="Received"),O211,IF(S211="","NEED LEAD TIME",IF(T211&lt;0,"OVERDUE",IF(T211&lt;=Settings!$B$5,"ORDER SOON","OK"))))))</f>
        <v/>
      </c>
      <c r="V211" s="15" t="n"/>
    </row>
    <row r="212">
      <c r="A212" s="14">
        <f>IF(B212="","",IF(C212="Epic",IFERROR(INDEX(Lists!$A:$A,MATCH(B212,Lists!$B:$B,0)),"?"),1000+ROW()))</f>
        <v/>
      </c>
      <c r="B212" s="15" t="n"/>
      <c r="C212" s="15" t="n"/>
      <c r="D212" s="15" t="n"/>
      <c r="E212" s="14">
        <f>IF(OR(C212="Epic",D212=""),"",IFERROR(INDEX(Lists!$A:$A,MATCH(D212,Lists!$B:$B,0)),""))</f>
        <v/>
      </c>
      <c r="F212" s="15" t="n"/>
      <c r="G212" s="15" t="n"/>
      <c r="H212" s="15" t="n"/>
      <c r="I212" s="15" t="n"/>
      <c r="J212" s="16" t="n"/>
      <c r="K212" s="16" t="n"/>
      <c r="L212" s="17">
        <f>IF(OR(C212="Epic",J212=""),"",MAX(0,J212-N(K212)))</f>
        <v/>
      </c>
      <c r="M212" s="18" t="n"/>
      <c r="N212" s="19">
        <f>IF(OR(L212="",M212=""),"",L212*M212)</f>
        <v/>
      </c>
      <c r="O212" s="15" t="n"/>
      <c r="P212" s="16" t="n"/>
      <c r="Q212" s="20" t="n"/>
      <c r="R212" s="21">
        <f>IF(OR(B212="",C212="Epic"),"",IF(Q212="",Settings!$B$3,Q212))</f>
        <v/>
      </c>
      <c r="S212" s="21">
        <f>IF(OR(R212="",P212="",N(L212)=0),"",R212-P212-Settings!$B$4)</f>
        <v/>
      </c>
      <c r="T212" s="17">
        <f>IF(S212="","",S212-TODAY())</f>
        <v/>
      </c>
      <c r="U212" s="14">
        <f>IF(OR(B212="",C212="Epic"),"",IF(N(L212)=0,IF(J212="","","ON HAND"),IF(OR(O212="Ordered",O212="Shipped",O212="Received"),O212,IF(S212="","NEED LEAD TIME",IF(T212&lt;0,"OVERDUE",IF(T212&lt;=Settings!$B$5,"ORDER SOON","OK"))))))</f>
        <v/>
      </c>
      <c r="V212" s="15" t="n"/>
    </row>
    <row r="213">
      <c r="A213" s="14">
        <f>IF(B213="","",IF(C213="Epic",IFERROR(INDEX(Lists!$A:$A,MATCH(B213,Lists!$B:$B,0)),"?"),1000+ROW()))</f>
        <v/>
      </c>
      <c r="B213" s="15" t="n"/>
      <c r="C213" s="15" t="n"/>
      <c r="D213" s="15" t="n"/>
      <c r="E213" s="14">
        <f>IF(OR(C213="Epic",D213=""),"",IFERROR(INDEX(Lists!$A:$A,MATCH(D213,Lists!$B:$B,0)),""))</f>
        <v/>
      </c>
      <c r="F213" s="15" t="n"/>
      <c r="G213" s="15" t="n"/>
      <c r="H213" s="15" t="n"/>
      <c r="I213" s="15" t="n"/>
      <c r="J213" s="16" t="n"/>
      <c r="K213" s="16" t="n"/>
      <c r="L213" s="17">
        <f>IF(OR(C213="Epic",J213=""),"",MAX(0,J213-N(K213)))</f>
        <v/>
      </c>
      <c r="M213" s="18" t="n"/>
      <c r="N213" s="19">
        <f>IF(OR(L213="",M213=""),"",L213*M213)</f>
        <v/>
      </c>
      <c r="O213" s="15" t="n"/>
      <c r="P213" s="16" t="n"/>
      <c r="Q213" s="20" t="n"/>
      <c r="R213" s="21">
        <f>IF(OR(B213="",C213="Epic"),"",IF(Q213="",Settings!$B$3,Q213))</f>
        <v/>
      </c>
      <c r="S213" s="21">
        <f>IF(OR(R213="",P213="",N(L213)=0),"",R213-P213-Settings!$B$4)</f>
        <v/>
      </c>
      <c r="T213" s="17">
        <f>IF(S213="","",S213-TODAY())</f>
        <v/>
      </c>
      <c r="U213" s="14">
        <f>IF(OR(B213="",C213="Epic"),"",IF(N(L213)=0,IF(J213="","","ON HAND"),IF(OR(O213="Ordered",O213="Shipped",O213="Received"),O213,IF(S213="","NEED LEAD TIME",IF(T213&lt;0,"OVERDUE",IF(T213&lt;=Settings!$B$5,"ORDER SOON","OK"))))))</f>
        <v/>
      </c>
      <c r="V213" s="15" t="n"/>
    </row>
    <row r="214">
      <c r="A214" s="14">
        <f>IF(B214="","",IF(C214="Epic",IFERROR(INDEX(Lists!$A:$A,MATCH(B214,Lists!$B:$B,0)),"?"),1000+ROW()))</f>
        <v/>
      </c>
      <c r="B214" s="15" t="n"/>
      <c r="C214" s="15" t="n"/>
      <c r="D214" s="15" t="n"/>
      <c r="E214" s="14">
        <f>IF(OR(C214="Epic",D214=""),"",IFERROR(INDEX(Lists!$A:$A,MATCH(D214,Lists!$B:$B,0)),""))</f>
        <v/>
      </c>
      <c r="F214" s="15" t="n"/>
      <c r="G214" s="15" t="n"/>
      <c r="H214" s="15" t="n"/>
      <c r="I214" s="15" t="n"/>
      <c r="J214" s="16" t="n"/>
      <c r="K214" s="16" t="n"/>
      <c r="L214" s="17">
        <f>IF(OR(C214="Epic",J214=""),"",MAX(0,J214-N(K214)))</f>
        <v/>
      </c>
      <c r="M214" s="18" t="n"/>
      <c r="N214" s="19">
        <f>IF(OR(L214="",M214=""),"",L214*M214)</f>
        <v/>
      </c>
      <c r="O214" s="15" t="n"/>
      <c r="P214" s="16" t="n"/>
      <c r="Q214" s="20" t="n"/>
      <c r="R214" s="21">
        <f>IF(OR(B214="",C214="Epic"),"",IF(Q214="",Settings!$B$3,Q214))</f>
        <v/>
      </c>
      <c r="S214" s="21">
        <f>IF(OR(R214="",P214="",N(L214)=0),"",R214-P214-Settings!$B$4)</f>
        <v/>
      </c>
      <c r="T214" s="17">
        <f>IF(S214="","",S214-TODAY())</f>
        <v/>
      </c>
      <c r="U214" s="14">
        <f>IF(OR(B214="",C214="Epic"),"",IF(N(L214)=0,IF(J214="","","ON HAND"),IF(OR(O214="Ordered",O214="Shipped",O214="Received"),O214,IF(S214="","NEED LEAD TIME",IF(T214&lt;0,"OVERDUE",IF(T214&lt;=Settings!$B$5,"ORDER SOON","OK"))))))</f>
        <v/>
      </c>
      <c r="V214" s="15" t="n"/>
    </row>
    <row r="215">
      <c r="A215" s="14">
        <f>IF(B215="","",IF(C215="Epic",IFERROR(INDEX(Lists!$A:$A,MATCH(B215,Lists!$B:$B,0)),"?"),1000+ROW()))</f>
        <v/>
      </c>
      <c r="B215" s="15" t="n"/>
      <c r="C215" s="15" t="n"/>
      <c r="D215" s="15" t="n"/>
      <c r="E215" s="14">
        <f>IF(OR(C215="Epic",D215=""),"",IFERROR(INDEX(Lists!$A:$A,MATCH(D215,Lists!$B:$B,0)),""))</f>
        <v/>
      </c>
      <c r="F215" s="15" t="n"/>
      <c r="G215" s="15" t="n"/>
      <c r="H215" s="15" t="n"/>
      <c r="I215" s="15" t="n"/>
      <c r="J215" s="16" t="n"/>
      <c r="K215" s="16" t="n"/>
      <c r="L215" s="17">
        <f>IF(OR(C215="Epic",J215=""),"",MAX(0,J215-N(K215)))</f>
        <v/>
      </c>
      <c r="M215" s="18" t="n"/>
      <c r="N215" s="19">
        <f>IF(OR(L215="",M215=""),"",L215*M215)</f>
        <v/>
      </c>
      <c r="O215" s="15" t="n"/>
      <c r="P215" s="16" t="n"/>
      <c r="Q215" s="20" t="n"/>
      <c r="R215" s="21">
        <f>IF(OR(B215="",C215="Epic"),"",IF(Q215="",Settings!$B$3,Q215))</f>
        <v/>
      </c>
      <c r="S215" s="21">
        <f>IF(OR(R215="",P215="",N(L215)=0),"",R215-P215-Settings!$B$4)</f>
        <v/>
      </c>
      <c r="T215" s="17">
        <f>IF(S215="","",S215-TODAY())</f>
        <v/>
      </c>
      <c r="U215" s="14">
        <f>IF(OR(B215="",C215="Epic"),"",IF(N(L215)=0,IF(J215="","","ON HAND"),IF(OR(O215="Ordered",O215="Shipped",O215="Received"),O215,IF(S215="","NEED LEAD TIME",IF(T215&lt;0,"OVERDUE",IF(T215&lt;=Settings!$B$5,"ORDER SOON","OK"))))))</f>
        <v/>
      </c>
      <c r="V215" s="15" t="n"/>
    </row>
    <row r="216">
      <c r="A216" s="14">
        <f>IF(B216="","",IF(C216="Epic",IFERROR(INDEX(Lists!$A:$A,MATCH(B216,Lists!$B:$B,0)),"?"),1000+ROW()))</f>
        <v/>
      </c>
      <c r="B216" s="15" t="n"/>
      <c r="C216" s="15" t="n"/>
      <c r="D216" s="15" t="n"/>
      <c r="E216" s="14">
        <f>IF(OR(C216="Epic",D216=""),"",IFERROR(INDEX(Lists!$A:$A,MATCH(D216,Lists!$B:$B,0)),""))</f>
        <v/>
      </c>
      <c r="F216" s="15" t="n"/>
      <c r="G216" s="15" t="n"/>
      <c r="H216" s="15" t="n"/>
      <c r="I216" s="15" t="n"/>
      <c r="J216" s="16" t="n"/>
      <c r="K216" s="16" t="n"/>
      <c r="L216" s="17">
        <f>IF(OR(C216="Epic",J216=""),"",MAX(0,J216-N(K216)))</f>
        <v/>
      </c>
      <c r="M216" s="18" t="n"/>
      <c r="N216" s="19">
        <f>IF(OR(L216="",M216=""),"",L216*M216)</f>
        <v/>
      </c>
      <c r="O216" s="15" t="n"/>
      <c r="P216" s="16" t="n"/>
      <c r="Q216" s="20" t="n"/>
      <c r="R216" s="21">
        <f>IF(OR(B216="",C216="Epic"),"",IF(Q216="",Settings!$B$3,Q216))</f>
        <v/>
      </c>
      <c r="S216" s="21">
        <f>IF(OR(R216="",P216="",N(L216)=0),"",R216-P216-Settings!$B$4)</f>
        <v/>
      </c>
      <c r="T216" s="17">
        <f>IF(S216="","",S216-TODAY())</f>
        <v/>
      </c>
      <c r="U216" s="14">
        <f>IF(OR(B216="",C216="Epic"),"",IF(N(L216)=0,IF(J216="","","ON HAND"),IF(OR(O216="Ordered",O216="Shipped",O216="Received"),O216,IF(S216="","NEED LEAD TIME",IF(T216&lt;0,"OVERDUE",IF(T216&lt;=Settings!$B$5,"ORDER SOON","OK"))))))</f>
        <v/>
      </c>
      <c r="V216" s="15" t="n"/>
    </row>
    <row r="217">
      <c r="A217" s="14">
        <f>IF(B217="","",IF(C217="Epic",IFERROR(INDEX(Lists!$A:$A,MATCH(B217,Lists!$B:$B,0)),"?"),1000+ROW()))</f>
        <v/>
      </c>
      <c r="B217" s="15" t="n"/>
      <c r="C217" s="15" t="n"/>
      <c r="D217" s="15" t="n"/>
      <c r="E217" s="14">
        <f>IF(OR(C217="Epic",D217=""),"",IFERROR(INDEX(Lists!$A:$A,MATCH(D217,Lists!$B:$B,0)),""))</f>
        <v/>
      </c>
      <c r="F217" s="15" t="n"/>
      <c r="G217" s="15" t="n"/>
      <c r="H217" s="15" t="n"/>
      <c r="I217" s="15" t="n"/>
      <c r="J217" s="16" t="n"/>
      <c r="K217" s="16" t="n"/>
      <c r="L217" s="17">
        <f>IF(OR(C217="Epic",J217=""),"",MAX(0,J217-N(K217)))</f>
        <v/>
      </c>
      <c r="M217" s="18" t="n"/>
      <c r="N217" s="19">
        <f>IF(OR(L217="",M217=""),"",L217*M217)</f>
        <v/>
      </c>
      <c r="O217" s="15" t="n"/>
      <c r="P217" s="16" t="n"/>
      <c r="Q217" s="20" t="n"/>
      <c r="R217" s="21">
        <f>IF(OR(B217="",C217="Epic"),"",IF(Q217="",Settings!$B$3,Q217))</f>
        <v/>
      </c>
      <c r="S217" s="21">
        <f>IF(OR(R217="",P217="",N(L217)=0),"",R217-P217-Settings!$B$4)</f>
        <v/>
      </c>
      <c r="T217" s="17">
        <f>IF(S217="","",S217-TODAY())</f>
        <v/>
      </c>
      <c r="U217" s="14">
        <f>IF(OR(B217="",C217="Epic"),"",IF(N(L217)=0,IF(J217="","","ON HAND"),IF(OR(O217="Ordered",O217="Shipped",O217="Received"),O217,IF(S217="","NEED LEAD TIME",IF(T217&lt;0,"OVERDUE",IF(T217&lt;=Settings!$B$5,"ORDER SOON","OK"))))))</f>
        <v/>
      </c>
      <c r="V217" s="15" t="n"/>
    </row>
    <row r="218">
      <c r="A218" s="14">
        <f>IF(B218="","",IF(C218="Epic",IFERROR(INDEX(Lists!$A:$A,MATCH(B218,Lists!$B:$B,0)),"?"),1000+ROW()))</f>
        <v/>
      </c>
      <c r="B218" s="15" t="n"/>
      <c r="C218" s="15" t="n"/>
      <c r="D218" s="15" t="n"/>
      <c r="E218" s="14">
        <f>IF(OR(C218="Epic",D218=""),"",IFERROR(INDEX(Lists!$A:$A,MATCH(D218,Lists!$B:$B,0)),""))</f>
        <v/>
      </c>
      <c r="F218" s="15" t="n"/>
      <c r="G218" s="15" t="n"/>
      <c r="H218" s="15" t="n"/>
      <c r="I218" s="15" t="n"/>
      <c r="J218" s="16" t="n"/>
      <c r="K218" s="16" t="n"/>
      <c r="L218" s="17">
        <f>IF(OR(C218="Epic",J218=""),"",MAX(0,J218-N(K218)))</f>
        <v/>
      </c>
      <c r="M218" s="18" t="n"/>
      <c r="N218" s="19">
        <f>IF(OR(L218="",M218=""),"",L218*M218)</f>
        <v/>
      </c>
      <c r="O218" s="15" t="n"/>
      <c r="P218" s="16" t="n"/>
      <c r="Q218" s="20" t="n"/>
      <c r="R218" s="21">
        <f>IF(OR(B218="",C218="Epic"),"",IF(Q218="",Settings!$B$3,Q218))</f>
        <v/>
      </c>
      <c r="S218" s="21">
        <f>IF(OR(R218="",P218="",N(L218)=0),"",R218-P218-Settings!$B$4)</f>
        <v/>
      </c>
      <c r="T218" s="17">
        <f>IF(S218="","",S218-TODAY())</f>
        <v/>
      </c>
      <c r="U218" s="14">
        <f>IF(OR(B218="",C218="Epic"),"",IF(N(L218)=0,IF(J218="","","ON HAND"),IF(OR(O218="Ordered",O218="Shipped",O218="Received"),O218,IF(S218="","NEED LEAD TIME",IF(T218&lt;0,"OVERDUE",IF(T218&lt;=Settings!$B$5,"ORDER SOON","OK"))))))</f>
        <v/>
      </c>
      <c r="V218" s="15" t="n"/>
    </row>
    <row r="219">
      <c r="A219" s="14">
        <f>IF(B219="","",IF(C219="Epic",IFERROR(INDEX(Lists!$A:$A,MATCH(B219,Lists!$B:$B,0)),"?"),1000+ROW()))</f>
        <v/>
      </c>
      <c r="B219" s="15" t="n"/>
      <c r="C219" s="15" t="n"/>
      <c r="D219" s="15" t="n"/>
      <c r="E219" s="14">
        <f>IF(OR(C219="Epic",D219=""),"",IFERROR(INDEX(Lists!$A:$A,MATCH(D219,Lists!$B:$B,0)),""))</f>
        <v/>
      </c>
      <c r="F219" s="15" t="n"/>
      <c r="G219" s="15" t="n"/>
      <c r="H219" s="15" t="n"/>
      <c r="I219" s="15" t="n"/>
      <c r="J219" s="16" t="n"/>
      <c r="K219" s="16" t="n"/>
      <c r="L219" s="17">
        <f>IF(OR(C219="Epic",J219=""),"",MAX(0,J219-N(K219)))</f>
        <v/>
      </c>
      <c r="M219" s="18" t="n"/>
      <c r="N219" s="19">
        <f>IF(OR(L219="",M219=""),"",L219*M219)</f>
        <v/>
      </c>
      <c r="O219" s="15" t="n"/>
      <c r="P219" s="16" t="n"/>
      <c r="Q219" s="20" t="n"/>
      <c r="R219" s="21">
        <f>IF(OR(B219="",C219="Epic"),"",IF(Q219="",Settings!$B$3,Q219))</f>
        <v/>
      </c>
      <c r="S219" s="21">
        <f>IF(OR(R219="",P219="",N(L219)=0),"",R219-P219-Settings!$B$4)</f>
        <v/>
      </c>
      <c r="T219" s="17">
        <f>IF(S219="","",S219-TODAY())</f>
        <v/>
      </c>
      <c r="U219" s="14">
        <f>IF(OR(B219="",C219="Epic"),"",IF(N(L219)=0,IF(J219="","","ON HAND"),IF(OR(O219="Ordered",O219="Shipped",O219="Received"),O219,IF(S219="","NEED LEAD TIME",IF(T219&lt;0,"OVERDUE",IF(T219&lt;=Settings!$B$5,"ORDER SOON","OK"))))))</f>
        <v/>
      </c>
      <c r="V219" s="15" t="n"/>
    </row>
    <row r="220">
      <c r="A220" s="14">
        <f>IF(B220="","",IF(C220="Epic",IFERROR(INDEX(Lists!$A:$A,MATCH(B220,Lists!$B:$B,0)),"?"),1000+ROW()))</f>
        <v/>
      </c>
      <c r="B220" s="15" t="n"/>
      <c r="C220" s="15" t="n"/>
      <c r="D220" s="15" t="n"/>
      <c r="E220" s="14">
        <f>IF(OR(C220="Epic",D220=""),"",IFERROR(INDEX(Lists!$A:$A,MATCH(D220,Lists!$B:$B,0)),""))</f>
        <v/>
      </c>
      <c r="F220" s="15" t="n"/>
      <c r="G220" s="15" t="n"/>
      <c r="H220" s="15" t="n"/>
      <c r="I220" s="15" t="n"/>
      <c r="J220" s="16" t="n"/>
      <c r="K220" s="16" t="n"/>
      <c r="L220" s="17">
        <f>IF(OR(C220="Epic",J220=""),"",MAX(0,J220-N(K220)))</f>
        <v/>
      </c>
      <c r="M220" s="18" t="n"/>
      <c r="N220" s="19">
        <f>IF(OR(L220="",M220=""),"",L220*M220)</f>
        <v/>
      </c>
      <c r="O220" s="15" t="n"/>
      <c r="P220" s="16" t="n"/>
      <c r="Q220" s="20" t="n"/>
      <c r="R220" s="21">
        <f>IF(OR(B220="",C220="Epic"),"",IF(Q220="",Settings!$B$3,Q220))</f>
        <v/>
      </c>
      <c r="S220" s="21">
        <f>IF(OR(R220="",P220="",N(L220)=0),"",R220-P220-Settings!$B$4)</f>
        <v/>
      </c>
      <c r="T220" s="17">
        <f>IF(S220="","",S220-TODAY())</f>
        <v/>
      </c>
      <c r="U220" s="14">
        <f>IF(OR(B220="",C220="Epic"),"",IF(N(L220)=0,IF(J220="","","ON HAND"),IF(OR(O220="Ordered",O220="Shipped",O220="Received"),O220,IF(S220="","NEED LEAD TIME",IF(T220&lt;0,"OVERDUE",IF(T220&lt;=Settings!$B$5,"ORDER SOON","OK"))))))</f>
        <v/>
      </c>
      <c r="V220" s="15" t="n"/>
    </row>
    <row r="221">
      <c r="A221" s="14">
        <f>IF(B221="","",IF(C221="Epic",IFERROR(INDEX(Lists!$A:$A,MATCH(B221,Lists!$B:$B,0)),"?"),1000+ROW()))</f>
        <v/>
      </c>
      <c r="B221" s="15" t="n"/>
      <c r="C221" s="15" t="n"/>
      <c r="D221" s="15" t="n"/>
      <c r="E221" s="14">
        <f>IF(OR(C221="Epic",D221=""),"",IFERROR(INDEX(Lists!$A:$A,MATCH(D221,Lists!$B:$B,0)),""))</f>
        <v/>
      </c>
      <c r="F221" s="15" t="n"/>
      <c r="G221" s="15" t="n"/>
      <c r="H221" s="15" t="n"/>
      <c r="I221" s="15" t="n"/>
      <c r="J221" s="16" t="n"/>
      <c r="K221" s="16" t="n"/>
      <c r="L221" s="17">
        <f>IF(OR(C221="Epic",J221=""),"",MAX(0,J221-N(K221)))</f>
        <v/>
      </c>
      <c r="M221" s="18" t="n"/>
      <c r="N221" s="19">
        <f>IF(OR(L221="",M221=""),"",L221*M221)</f>
        <v/>
      </c>
      <c r="O221" s="15" t="n"/>
      <c r="P221" s="16" t="n"/>
      <c r="Q221" s="20" t="n"/>
      <c r="R221" s="21">
        <f>IF(OR(B221="",C221="Epic"),"",IF(Q221="",Settings!$B$3,Q221))</f>
        <v/>
      </c>
      <c r="S221" s="21">
        <f>IF(OR(R221="",P221="",N(L221)=0),"",R221-P221-Settings!$B$4)</f>
        <v/>
      </c>
      <c r="T221" s="17">
        <f>IF(S221="","",S221-TODAY())</f>
        <v/>
      </c>
      <c r="U221" s="14">
        <f>IF(OR(B221="",C221="Epic"),"",IF(N(L221)=0,IF(J221="","","ON HAND"),IF(OR(O221="Ordered",O221="Shipped",O221="Received"),O221,IF(S221="","NEED LEAD TIME",IF(T221&lt;0,"OVERDUE",IF(T221&lt;=Settings!$B$5,"ORDER SOON","OK"))))))</f>
        <v/>
      </c>
      <c r="V221" s="15" t="n"/>
    </row>
    <row r="222">
      <c r="A222" s="14">
        <f>IF(B222="","",IF(C222="Epic",IFERROR(INDEX(Lists!$A:$A,MATCH(B222,Lists!$B:$B,0)),"?"),1000+ROW()))</f>
        <v/>
      </c>
      <c r="B222" s="15" t="n"/>
      <c r="C222" s="15" t="n"/>
      <c r="D222" s="15" t="n"/>
      <c r="E222" s="14">
        <f>IF(OR(C222="Epic",D222=""),"",IFERROR(INDEX(Lists!$A:$A,MATCH(D222,Lists!$B:$B,0)),""))</f>
        <v/>
      </c>
      <c r="F222" s="15" t="n"/>
      <c r="G222" s="15" t="n"/>
      <c r="H222" s="15" t="n"/>
      <c r="I222" s="15" t="n"/>
      <c r="J222" s="16" t="n"/>
      <c r="K222" s="16" t="n"/>
      <c r="L222" s="17">
        <f>IF(OR(C222="Epic",J222=""),"",MAX(0,J222-N(K222)))</f>
        <v/>
      </c>
      <c r="M222" s="18" t="n"/>
      <c r="N222" s="19">
        <f>IF(OR(L222="",M222=""),"",L222*M222)</f>
        <v/>
      </c>
      <c r="O222" s="15" t="n"/>
      <c r="P222" s="16" t="n"/>
      <c r="Q222" s="20" t="n"/>
      <c r="R222" s="21">
        <f>IF(OR(B222="",C222="Epic"),"",IF(Q222="",Settings!$B$3,Q222))</f>
        <v/>
      </c>
      <c r="S222" s="21">
        <f>IF(OR(R222="",P222="",N(L222)=0),"",R222-P222-Settings!$B$4)</f>
        <v/>
      </c>
      <c r="T222" s="17">
        <f>IF(S222="","",S222-TODAY())</f>
        <v/>
      </c>
      <c r="U222" s="14">
        <f>IF(OR(B222="",C222="Epic"),"",IF(N(L222)=0,IF(J222="","","ON HAND"),IF(OR(O222="Ordered",O222="Shipped",O222="Received"),O222,IF(S222="","NEED LEAD TIME",IF(T222&lt;0,"OVERDUE",IF(T222&lt;=Settings!$B$5,"ORDER SOON","OK"))))))</f>
        <v/>
      </c>
      <c r="V222" s="15" t="n"/>
    </row>
    <row r="223">
      <c r="A223" s="14">
        <f>IF(B223="","",IF(C223="Epic",IFERROR(INDEX(Lists!$A:$A,MATCH(B223,Lists!$B:$B,0)),"?"),1000+ROW()))</f>
        <v/>
      </c>
      <c r="B223" s="15" t="n"/>
      <c r="C223" s="15" t="n"/>
      <c r="D223" s="15" t="n"/>
      <c r="E223" s="14">
        <f>IF(OR(C223="Epic",D223=""),"",IFERROR(INDEX(Lists!$A:$A,MATCH(D223,Lists!$B:$B,0)),""))</f>
        <v/>
      </c>
      <c r="F223" s="15" t="n"/>
      <c r="G223" s="15" t="n"/>
      <c r="H223" s="15" t="n"/>
      <c r="I223" s="15" t="n"/>
      <c r="J223" s="16" t="n"/>
      <c r="K223" s="16" t="n"/>
      <c r="L223" s="17">
        <f>IF(OR(C223="Epic",J223=""),"",MAX(0,J223-N(K223)))</f>
        <v/>
      </c>
      <c r="M223" s="18" t="n"/>
      <c r="N223" s="19">
        <f>IF(OR(L223="",M223=""),"",L223*M223)</f>
        <v/>
      </c>
      <c r="O223" s="15" t="n"/>
      <c r="P223" s="16" t="n"/>
      <c r="Q223" s="20" t="n"/>
      <c r="R223" s="21">
        <f>IF(OR(B223="",C223="Epic"),"",IF(Q223="",Settings!$B$3,Q223))</f>
        <v/>
      </c>
      <c r="S223" s="21">
        <f>IF(OR(R223="",P223="",N(L223)=0),"",R223-P223-Settings!$B$4)</f>
        <v/>
      </c>
      <c r="T223" s="17">
        <f>IF(S223="","",S223-TODAY())</f>
        <v/>
      </c>
      <c r="U223" s="14">
        <f>IF(OR(B223="",C223="Epic"),"",IF(N(L223)=0,IF(J223="","","ON HAND"),IF(OR(O223="Ordered",O223="Shipped",O223="Received"),O223,IF(S223="","NEED LEAD TIME",IF(T223&lt;0,"OVERDUE",IF(T223&lt;=Settings!$B$5,"ORDER SOON","OK"))))))</f>
        <v/>
      </c>
      <c r="V223" s="15" t="n"/>
    </row>
    <row r="224">
      <c r="A224" s="14">
        <f>IF(B224="","",IF(C224="Epic",IFERROR(INDEX(Lists!$A:$A,MATCH(B224,Lists!$B:$B,0)),"?"),1000+ROW()))</f>
        <v/>
      </c>
      <c r="B224" s="15" t="n"/>
      <c r="C224" s="15" t="n"/>
      <c r="D224" s="15" t="n"/>
      <c r="E224" s="14">
        <f>IF(OR(C224="Epic",D224=""),"",IFERROR(INDEX(Lists!$A:$A,MATCH(D224,Lists!$B:$B,0)),""))</f>
        <v/>
      </c>
      <c r="F224" s="15" t="n"/>
      <c r="G224" s="15" t="n"/>
      <c r="H224" s="15" t="n"/>
      <c r="I224" s="15" t="n"/>
      <c r="J224" s="16" t="n"/>
      <c r="K224" s="16" t="n"/>
      <c r="L224" s="17">
        <f>IF(OR(C224="Epic",J224=""),"",MAX(0,J224-N(K224)))</f>
        <v/>
      </c>
      <c r="M224" s="18" t="n"/>
      <c r="N224" s="19">
        <f>IF(OR(L224="",M224=""),"",L224*M224)</f>
        <v/>
      </c>
      <c r="O224" s="15" t="n"/>
      <c r="P224" s="16" t="n"/>
      <c r="Q224" s="20" t="n"/>
      <c r="R224" s="21">
        <f>IF(OR(B224="",C224="Epic"),"",IF(Q224="",Settings!$B$3,Q224))</f>
        <v/>
      </c>
      <c r="S224" s="21">
        <f>IF(OR(R224="",P224="",N(L224)=0),"",R224-P224-Settings!$B$4)</f>
        <v/>
      </c>
      <c r="T224" s="17">
        <f>IF(S224="","",S224-TODAY())</f>
        <v/>
      </c>
      <c r="U224" s="14">
        <f>IF(OR(B224="",C224="Epic"),"",IF(N(L224)=0,IF(J224="","","ON HAND"),IF(OR(O224="Ordered",O224="Shipped",O224="Received"),O224,IF(S224="","NEED LEAD TIME",IF(T224&lt;0,"OVERDUE",IF(T224&lt;=Settings!$B$5,"ORDER SOON","OK"))))))</f>
        <v/>
      </c>
      <c r="V224" s="15" t="n"/>
    </row>
    <row r="225">
      <c r="A225" s="14">
        <f>IF(B225="","",IF(C225="Epic",IFERROR(INDEX(Lists!$A:$A,MATCH(B225,Lists!$B:$B,0)),"?"),1000+ROW()))</f>
        <v/>
      </c>
      <c r="B225" s="15" t="n"/>
      <c r="C225" s="15" t="n"/>
      <c r="D225" s="15" t="n"/>
      <c r="E225" s="14">
        <f>IF(OR(C225="Epic",D225=""),"",IFERROR(INDEX(Lists!$A:$A,MATCH(D225,Lists!$B:$B,0)),""))</f>
        <v/>
      </c>
      <c r="F225" s="15" t="n"/>
      <c r="G225" s="15" t="n"/>
      <c r="H225" s="15" t="n"/>
      <c r="I225" s="15" t="n"/>
      <c r="J225" s="16" t="n"/>
      <c r="K225" s="16" t="n"/>
      <c r="L225" s="17">
        <f>IF(OR(C225="Epic",J225=""),"",MAX(0,J225-N(K225)))</f>
        <v/>
      </c>
      <c r="M225" s="18" t="n"/>
      <c r="N225" s="19">
        <f>IF(OR(L225="",M225=""),"",L225*M225)</f>
        <v/>
      </c>
      <c r="O225" s="15" t="n"/>
      <c r="P225" s="16" t="n"/>
      <c r="Q225" s="20" t="n"/>
      <c r="R225" s="21">
        <f>IF(OR(B225="",C225="Epic"),"",IF(Q225="",Settings!$B$3,Q225))</f>
        <v/>
      </c>
      <c r="S225" s="21">
        <f>IF(OR(R225="",P225="",N(L225)=0),"",R225-P225-Settings!$B$4)</f>
        <v/>
      </c>
      <c r="T225" s="17">
        <f>IF(S225="","",S225-TODAY())</f>
        <v/>
      </c>
      <c r="U225" s="14">
        <f>IF(OR(B225="",C225="Epic"),"",IF(N(L225)=0,IF(J225="","","ON HAND"),IF(OR(O225="Ordered",O225="Shipped",O225="Received"),O225,IF(S225="","NEED LEAD TIME",IF(T225&lt;0,"OVERDUE",IF(T225&lt;=Settings!$B$5,"ORDER SOON","OK"))))))</f>
        <v/>
      </c>
      <c r="V225" s="15" t="n"/>
    </row>
    <row r="226">
      <c r="A226" s="14">
        <f>IF(B226="","",IF(C226="Epic",IFERROR(INDEX(Lists!$A:$A,MATCH(B226,Lists!$B:$B,0)),"?"),1000+ROW()))</f>
        <v/>
      </c>
      <c r="B226" s="15" t="n"/>
      <c r="C226" s="15" t="n"/>
      <c r="D226" s="15" t="n"/>
      <c r="E226" s="14">
        <f>IF(OR(C226="Epic",D226=""),"",IFERROR(INDEX(Lists!$A:$A,MATCH(D226,Lists!$B:$B,0)),""))</f>
        <v/>
      </c>
      <c r="F226" s="15" t="n"/>
      <c r="G226" s="15" t="n"/>
      <c r="H226" s="15" t="n"/>
      <c r="I226" s="15" t="n"/>
      <c r="J226" s="16" t="n"/>
      <c r="K226" s="16" t="n"/>
      <c r="L226" s="17">
        <f>IF(OR(C226="Epic",J226=""),"",MAX(0,J226-N(K226)))</f>
        <v/>
      </c>
      <c r="M226" s="18" t="n"/>
      <c r="N226" s="19">
        <f>IF(OR(L226="",M226=""),"",L226*M226)</f>
        <v/>
      </c>
      <c r="O226" s="15" t="n"/>
      <c r="P226" s="16" t="n"/>
      <c r="Q226" s="20" t="n"/>
      <c r="R226" s="21">
        <f>IF(OR(B226="",C226="Epic"),"",IF(Q226="",Settings!$B$3,Q226))</f>
        <v/>
      </c>
      <c r="S226" s="21">
        <f>IF(OR(R226="",P226="",N(L226)=0),"",R226-P226-Settings!$B$4)</f>
        <v/>
      </c>
      <c r="T226" s="17">
        <f>IF(S226="","",S226-TODAY())</f>
        <v/>
      </c>
      <c r="U226" s="14">
        <f>IF(OR(B226="",C226="Epic"),"",IF(N(L226)=0,IF(J226="","","ON HAND"),IF(OR(O226="Ordered",O226="Shipped",O226="Received"),O226,IF(S226="","NEED LEAD TIME",IF(T226&lt;0,"OVERDUE",IF(T226&lt;=Settings!$B$5,"ORDER SOON","OK"))))))</f>
        <v/>
      </c>
      <c r="V226" s="15" t="n"/>
    </row>
    <row r="227">
      <c r="A227" s="14">
        <f>IF(B227="","",IF(C227="Epic",IFERROR(INDEX(Lists!$A:$A,MATCH(B227,Lists!$B:$B,0)),"?"),1000+ROW()))</f>
        <v/>
      </c>
      <c r="B227" s="15" t="n"/>
      <c r="C227" s="15" t="n"/>
      <c r="D227" s="15" t="n"/>
      <c r="E227" s="14">
        <f>IF(OR(C227="Epic",D227=""),"",IFERROR(INDEX(Lists!$A:$A,MATCH(D227,Lists!$B:$B,0)),""))</f>
        <v/>
      </c>
      <c r="F227" s="15" t="n"/>
      <c r="G227" s="15" t="n"/>
      <c r="H227" s="15" t="n"/>
      <c r="I227" s="15" t="n"/>
      <c r="J227" s="16" t="n"/>
      <c r="K227" s="16" t="n"/>
      <c r="L227" s="17">
        <f>IF(OR(C227="Epic",J227=""),"",MAX(0,J227-N(K227)))</f>
        <v/>
      </c>
      <c r="M227" s="18" t="n"/>
      <c r="N227" s="19">
        <f>IF(OR(L227="",M227=""),"",L227*M227)</f>
        <v/>
      </c>
      <c r="O227" s="15" t="n"/>
      <c r="P227" s="16" t="n"/>
      <c r="Q227" s="20" t="n"/>
      <c r="R227" s="21">
        <f>IF(OR(B227="",C227="Epic"),"",IF(Q227="",Settings!$B$3,Q227))</f>
        <v/>
      </c>
      <c r="S227" s="21">
        <f>IF(OR(R227="",P227="",N(L227)=0),"",R227-P227-Settings!$B$4)</f>
        <v/>
      </c>
      <c r="T227" s="17">
        <f>IF(S227="","",S227-TODAY())</f>
        <v/>
      </c>
      <c r="U227" s="14">
        <f>IF(OR(B227="",C227="Epic"),"",IF(N(L227)=0,IF(J227="","","ON HAND"),IF(OR(O227="Ordered",O227="Shipped",O227="Received"),O227,IF(S227="","NEED LEAD TIME",IF(T227&lt;0,"OVERDUE",IF(T227&lt;=Settings!$B$5,"ORDER SOON","OK"))))))</f>
        <v/>
      </c>
      <c r="V227" s="15" t="n"/>
    </row>
    <row r="228">
      <c r="A228" s="14">
        <f>IF(B228="","",IF(C228="Epic",IFERROR(INDEX(Lists!$A:$A,MATCH(B228,Lists!$B:$B,0)),"?"),1000+ROW()))</f>
        <v/>
      </c>
      <c r="B228" s="15" t="n"/>
      <c r="C228" s="15" t="n"/>
      <c r="D228" s="15" t="n"/>
      <c r="E228" s="14">
        <f>IF(OR(C228="Epic",D228=""),"",IFERROR(INDEX(Lists!$A:$A,MATCH(D228,Lists!$B:$B,0)),""))</f>
        <v/>
      </c>
      <c r="F228" s="15" t="n"/>
      <c r="G228" s="15" t="n"/>
      <c r="H228" s="15" t="n"/>
      <c r="I228" s="15" t="n"/>
      <c r="J228" s="16" t="n"/>
      <c r="K228" s="16" t="n"/>
      <c r="L228" s="17">
        <f>IF(OR(C228="Epic",J228=""),"",MAX(0,J228-N(K228)))</f>
        <v/>
      </c>
      <c r="M228" s="18" t="n"/>
      <c r="N228" s="19">
        <f>IF(OR(L228="",M228=""),"",L228*M228)</f>
        <v/>
      </c>
      <c r="O228" s="15" t="n"/>
      <c r="P228" s="16" t="n"/>
      <c r="Q228" s="20" t="n"/>
      <c r="R228" s="21">
        <f>IF(OR(B228="",C228="Epic"),"",IF(Q228="",Settings!$B$3,Q228))</f>
        <v/>
      </c>
      <c r="S228" s="21">
        <f>IF(OR(R228="",P228="",N(L228)=0),"",R228-P228-Settings!$B$4)</f>
        <v/>
      </c>
      <c r="T228" s="17">
        <f>IF(S228="","",S228-TODAY())</f>
        <v/>
      </c>
      <c r="U228" s="14">
        <f>IF(OR(B228="",C228="Epic"),"",IF(N(L228)=0,IF(J228="","","ON HAND"),IF(OR(O228="Ordered",O228="Shipped",O228="Received"),O228,IF(S228="","NEED LEAD TIME",IF(T228&lt;0,"OVERDUE",IF(T228&lt;=Settings!$B$5,"ORDER SOON","OK"))))))</f>
        <v/>
      </c>
      <c r="V228" s="15" t="n"/>
    </row>
    <row r="229">
      <c r="A229" s="14">
        <f>IF(B229="","",IF(C229="Epic",IFERROR(INDEX(Lists!$A:$A,MATCH(B229,Lists!$B:$B,0)),"?"),1000+ROW()))</f>
        <v/>
      </c>
      <c r="B229" s="15" t="n"/>
      <c r="C229" s="15" t="n"/>
      <c r="D229" s="15" t="n"/>
      <c r="E229" s="14">
        <f>IF(OR(C229="Epic",D229=""),"",IFERROR(INDEX(Lists!$A:$A,MATCH(D229,Lists!$B:$B,0)),""))</f>
        <v/>
      </c>
      <c r="F229" s="15" t="n"/>
      <c r="G229" s="15" t="n"/>
      <c r="H229" s="15" t="n"/>
      <c r="I229" s="15" t="n"/>
      <c r="J229" s="16" t="n"/>
      <c r="K229" s="16" t="n"/>
      <c r="L229" s="17">
        <f>IF(OR(C229="Epic",J229=""),"",MAX(0,J229-N(K229)))</f>
        <v/>
      </c>
      <c r="M229" s="18" t="n"/>
      <c r="N229" s="19">
        <f>IF(OR(L229="",M229=""),"",L229*M229)</f>
        <v/>
      </c>
      <c r="O229" s="15" t="n"/>
      <c r="P229" s="16" t="n"/>
      <c r="Q229" s="20" t="n"/>
      <c r="R229" s="21">
        <f>IF(OR(B229="",C229="Epic"),"",IF(Q229="",Settings!$B$3,Q229))</f>
        <v/>
      </c>
      <c r="S229" s="21">
        <f>IF(OR(R229="",P229="",N(L229)=0),"",R229-P229-Settings!$B$4)</f>
        <v/>
      </c>
      <c r="T229" s="17">
        <f>IF(S229="","",S229-TODAY())</f>
        <v/>
      </c>
      <c r="U229" s="14">
        <f>IF(OR(B229="",C229="Epic"),"",IF(N(L229)=0,IF(J229="","","ON HAND"),IF(OR(O229="Ordered",O229="Shipped",O229="Received"),O229,IF(S229="","NEED LEAD TIME",IF(T229&lt;0,"OVERDUE",IF(T229&lt;=Settings!$B$5,"ORDER SOON","OK"))))))</f>
        <v/>
      </c>
      <c r="V229" s="15" t="n"/>
    </row>
    <row r="230">
      <c r="A230" s="14">
        <f>IF(B230="","",IF(C230="Epic",IFERROR(INDEX(Lists!$A:$A,MATCH(B230,Lists!$B:$B,0)),"?"),1000+ROW()))</f>
        <v/>
      </c>
      <c r="B230" s="15" t="n"/>
      <c r="C230" s="15" t="n"/>
      <c r="D230" s="15" t="n"/>
      <c r="E230" s="14">
        <f>IF(OR(C230="Epic",D230=""),"",IFERROR(INDEX(Lists!$A:$A,MATCH(D230,Lists!$B:$B,0)),""))</f>
        <v/>
      </c>
      <c r="F230" s="15" t="n"/>
      <c r="G230" s="15" t="n"/>
      <c r="H230" s="15" t="n"/>
      <c r="I230" s="15" t="n"/>
      <c r="J230" s="16" t="n"/>
      <c r="K230" s="16" t="n"/>
      <c r="L230" s="17">
        <f>IF(OR(C230="Epic",J230=""),"",MAX(0,J230-N(K230)))</f>
        <v/>
      </c>
      <c r="M230" s="18" t="n"/>
      <c r="N230" s="19">
        <f>IF(OR(L230="",M230=""),"",L230*M230)</f>
        <v/>
      </c>
      <c r="O230" s="15" t="n"/>
      <c r="P230" s="16" t="n"/>
      <c r="Q230" s="20" t="n"/>
      <c r="R230" s="21">
        <f>IF(OR(B230="",C230="Epic"),"",IF(Q230="",Settings!$B$3,Q230))</f>
        <v/>
      </c>
      <c r="S230" s="21">
        <f>IF(OR(R230="",P230="",N(L230)=0),"",R230-P230-Settings!$B$4)</f>
        <v/>
      </c>
      <c r="T230" s="17">
        <f>IF(S230="","",S230-TODAY())</f>
        <v/>
      </c>
      <c r="U230" s="14">
        <f>IF(OR(B230="",C230="Epic"),"",IF(N(L230)=0,IF(J230="","","ON HAND"),IF(OR(O230="Ordered",O230="Shipped",O230="Received"),O230,IF(S230="","NEED LEAD TIME",IF(T230&lt;0,"OVERDUE",IF(T230&lt;=Settings!$B$5,"ORDER SOON","OK"))))))</f>
        <v/>
      </c>
      <c r="V230" s="15" t="n"/>
    </row>
    <row r="231">
      <c r="A231" s="14">
        <f>IF(B231="","",IF(C231="Epic",IFERROR(INDEX(Lists!$A:$A,MATCH(B231,Lists!$B:$B,0)),"?"),1000+ROW()))</f>
        <v/>
      </c>
      <c r="B231" s="15" t="n"/>
      <c r="C231" s="15" t="n"/>
      <c r="D231" s="15" t="n"/>
      <c r="E231" s="14">
        <f>IF(OR(C231="Epic",D231=""),"",IFERROR(INDEX(Lists!$A:$A,MATCH(D231,Lists!$B:$B,0)),""))</f>
        <v/>
      </c>
      <c r="F231" s="15" t="n"/>
      <c r="G231" s="15" t="n"/>
      <c r="H231" s="15" t="n"/>
      <c r="I231" s="15" t="n"/>
      <c r="J231" s="16" t="n"/>
      <c r="K231" s="16" t="n"/>
      <c r="L231" s="17">
        <f>IF(OR(C231="Epic",J231=""),"",MAX(0,J231-N(K231)))</f>
        <v/>
      </c>
      <c r="M231" s="18" t="n"/>
      <c r="N231" s="19">
        <f>IF(OR(L231="",M231=""),"",L231*M231)</f>
        <v/>
      </c>
      <c r="O231" s="15" t="n"/>
      <c r="P231" s="16" t="n"/>
      <c r="Q231" s="20" t="n"/>
      <c r="R231" s="21">
        <f>IF(OR(B231="",C231="Epic"),"",IF(Q231="",Settings!$B$3,Q231))</f>
        <v/>
      </c>
      <c r="S231" s="21">
        <f>IF(OR(R231="",P231="",N(L231)=0),"",R231-P231-Settings!$B$4)</f>
        <v/>
      </c>
      <c r="T231" s="17">
        <f>IF(S231="","",S231-TODAY())</f>
        <v/>
      </c>
      <c r="U231" s="14">
        <f>IF(OR(B231="",C231="Epic"),"",IF(N(L231)=0,IF(J231="","","ON HAND"),IF(OR(O231="Ordered",O231="Shipped",O231="Received"),O231,IF(S231="","NEED LEAD TIME",IF(T231&lt;0,"OVERDUE",IF(T231&lt;=Settings!$B$5,"ORDER SOON","OK"))))))</f>
        <v/>
      </c>
      <c r="V231" s="15" t="n"/>
    </row>
    <row r="232">
      <c r="A232" s="14">
        <f>IF(B232="","",IF(C232="Epic",IFERROR(INDEX(Lists!$A:$A,MATCH(B232,Lists!$B:$B,0)),"?"),1000+ROW()))</f>
        <v/>
      </c>
      <c r="B232" s="15" t="n"/>
      <c r="C232" s="15" t="n"/>
      <c r="D232" s="15" t="n"/>
      <c r="E232" s="14">
        <f>IF(OR(C232="Epic",D232=""),"",IFERROR(INDEX(Lists!$A:$A,MATCH(D232,Lists!$B:$B,0)),""))</f>
        <v/>
      </c>
      <c r="F232" s="15" t="n"/>
      <c r="G232" s="15" t="n"/>
      <c r="H232" s="15" t="n"/>
      <c r="I232" s="15" t="n"/>
      <c r="J232" s="16" t="n"/>
      <c r="K232" s="16" t="n"/>
      <c r="L232" s="17">
        <f>IF(OR(C232="Epic",J232=""),"",MAX(0,J232-N(K232)))</f>
        <v/>
      </c>
      <c r="M232" s="18" t="n"/>
      <c r="N232" s="19">
        <f>IF(OR(L232="",M232=""),"",L232*M232)</f>
        <v/>
      </c>
      <c r="O232" s="15" t="n"/>
      <c r="P232" s="16" t="n"/>
      <c r="Q232" s="20" t="n"/>
      <c r="R232" s="21">
        <f>IF(OR(B232="",C232="Epic"),"",IF(Q232="",Settings!$B$3,Q232))</f>
        <v/>
      </c>
      <c r="S232" s="21">
        <f>IF(OR(R232="",P232="",N(L232)=0),"",R232-P232-Settings!$B$4)</f>
        <v/>
      </c>
      <c r="T232" s="17">
        <f>IF(S232="","",S232-TODAY())</f>
        <v/>
      </c>
      <c r="U232" s="14">
        <f>IF(OR(B232="",C232="Epic"),"",IF(N(L232)=0,IF(J232="","","ON HAND"),IF(OR(O232="Ordered",O232="Shipped",O232="Received"),O232,IF(S232="","NEED LEAD TIME",IF(T232&lt;0,"OVERDUE",IF(T232&lt;=Settings!$B$5,"ORDER SOON","OK"))))))</f>
        <v/>
      </c>
      <c r="V232" s="15" t="n"/>
    </row>
    <row r="233">
      <c r="A233" s="14">
        <f>IF(B233="","",IF(C233="Epic",IFERROR(INDEX(Lists!$A:$A,MATCH(B233,Lists!$B:$B,0)),"?"),1000+ROW()))</f>
        <v/>
      </c>
      <c r="B233" s="15" t="n"/>
      <c r="C233" s="15" t="n"/>
      <c r="D233" s="15" t="n"/>
      <c r="E233" s="14">
        <f>IF(OR(C233="Epic",D233=""),"",IFERROR(INDEX(Lists!$A:$A,MATCH(D233,Lists!$B:$B,0)),""))</f>
        <v/>
      </c>
      <c r="F233" s="15" t="n"/>
      <c r="G233" s="15" t="n"/>
      <c r="H233" s="15" t="n"/>
      <c r="I233" s="15" t="n"/>
      <c r="J233" s="16" t="n"/>
      <c r="K233" s="16" t="n"/>
      <c r="L233" s="17">
        <f>IF(OR(C233="Epic",J233=""),"",MAX(0,J233-N(K233)))</f>
        <v/>
      </c>
      <c r="M233" s="18" t="n"/>
      <c r="N233" s="19">
        <f>IF(OR(L233="",M233=""),"",L233*M233)</f>
        <v/>
      </c>
      <c r="O233" s="15" t="n"/>
      <c r="P233" s="16" t="n"/>
      <c r="Q233" s="20" t="n"/>
      <c r="R233" s="21">
        <f>IF(OR(B233="",C233="Epic"),"",IF(Q233="",Settings!$B$3,Q233))</f>
        <v/>
      </c>
      <c r="S233" s="21">
        <f>IF(OR(R233="",P233="",N(L233)=0),"",R233-P233-Settings!$B$4)</f>
        <v/>
      </c>
      <c r="T233" s="17">
        <f>IF(S233="","",S233-TODAY())</f>
        <v/>
      </c>
      <c r="U233" s="14">
        <f>IF(OR(B233="",C233="Epic"),"",IF(N(L233)=0,IF(J233="","","ON HAND"),IF(OR(O233="Ordered",O233="Shipped",O233="Received"),O233,IF(S233="","NEED LEAD TIME",IF(T233&lt;0,"OVERDUE",IF(T233&lt;=Settings!$B$5,"ORDER SOON","OK"))))))</f>
        <v/>
      </c>
      <c r="V233" s="15" t="n"/>
    </row>
    <row r="234">
      <c r="A234" s="14">
        <f>IF(B234="","",IF(C234="Epic",IFERROR(INDEX(Lists!$A:$A,MATCH(B234,Lists!$B:$B,0)),"?"),1000+ROW()))</f>
        <v/>
      </c>
      <c r="B234" s="15" t="n"/>
      <c r="C234" s="15" t="n"/>
      <c r="D234" s="15" t="n"/>
      <c r="E234" s="14">
        <f>IF(OR(C234="Epic",D234=""),"",IFERROR(INDEX(Lists!$A:$A,MATCH(D234,Lists!$B:$B,0)),""))</f>
        <v/>
      </c>
      <c r="F234" s="15" t="n"/>
      <c r="G234" s="15" t="n"/>
      <c r="H234" s="15" t="n"/>
      <c r="I234" s="15" t="n"/>
      <c r="J234" s="16" t="n"/>
      <c r="K234" s="16" t="n"/>
      <c r="L234" s="17">
        <f>IF(OR(C234="Epic",J234=""),"",MAX(0,J234-N(K234)))</f>
        <v/>
      </c>
      <c r="M234" s="18" t="n"/>
      <c r="N234" s="19">
        <f>IF(OR(L234="",M234=""),"",L234*M234)</f>
        <v/>
      </c>
      <c r="O234" s="15" t="n"/>
      <c r="P234" s="16" t="n"/>
      <c r="Q234" s="20" t="n"/>
      <c r="R234" s="21">
        <f>IF(OR(B234="",C234="Epic"),"",IF(Q234="",Settings!$B$3,Q234))</f>
        <v/>
      </c>
      <c r="S234" s="21">
        <f>IF(OR(R234="",P234="",N(L234)=0),"",R234-P234-Settings!$B$4)</f>
        <v/>
      </c>
      <c r="T234" s="17">
        <f>IF(S234="","",S234-TODAY())</f>
        <v/>
      </c>
      <c r="U234" s="14">
        <f>IF(OR(B234="",C234="Epic"),"",IF(N(L234)=0,IF(J234="","","ON HAND"),IF(OR(O234="Ordered",O234="Shipped",O234="Received"),O234,IF(S234="","NEED LEAD TIME",IF(T234&lt;0,"OVERDUE",IF(T234&lt;=Settings!$B$5,"ORDER SOON","OK"))))))</f>
        <v/>
      </c>
      <c r="V234" s="15" t="n"/>
    </row>
    <row r="235">
      <c r="A235" s="14">
        <f>IF(B235="","",IF(C235="Epic",IFERROR(INDEX(Lists!$A:$A,MATCH(B235,Lists!$B:$B,0)),"?"),1000+ROW()))</f>
        <v/>
      </c>
      <c r="B235" s="15" t="n"/>
      <c r="C235" s="15" t="n"/>
      <c r="D235" s="15" t="n"/>
      <c r="E235" s="14">
        <f>IF(OR(C235="Epic",D235=""),"",IFERROR(INDEX(Lists!$A:$A,MATCH(D235,Lists!$B:$B,0)),""))</f>
        <v/>
      </c>
      <c r="F235" s="15" t="n"/>
      <c r="G235" s="15" t="n"/>
      <c r="H235" s="15" t="n"/>
      <c r="I235" s="15" t="n"/>
      <c r="J235" s="16" t="n"/>
      <c r="K235" s="16" t="n"/>
      <c r="L235" s="17">
        <f>IF(OR(C235="Epic",J235=""),"",MAX(0,J235-N(K235)))</f>
        <v/>
      </c>
      <c r="M235" s="18" t="n"/>
      <c r="N235" s="19">
        <f>IF(OR(L235="",M235=""),"",L235*M235)</f>
        <v/>
      </c>
      <c r="O235" s="15" t="n"/>
      <c r="P235" s="16" t="n"/>
      <c r="Q235" s="20" t="n"/>
      <c r="R235" s="21">
        <f>IF(OR(B235="",C235="Epic"),"",IF(Q235="",Settings!$B$3,Q235))</f>
        <v/>
      </c>
      <c r="S235" s="21">
        <f>IF(OR(R235="",P235="",N(L235)=0),"",R235-P235-Settings!$B$4)</f>
        <v/>
      </c>
      <c r="T235" s="17">
        <f>IF(S235="","",S235-TODAY())</f>
        <v/>
      </c>
      <c r="U235" s="14">
        <f>IF(OR(B235="",C235="Epic"),"",IF(N(L235)=0,IF(J235="","","ON HAND"),IF(OR(O235="Ordered",O235="Shipped",O235="Received"),O235,IF(S235="","NEED LEAD TIME",IF(T235&lt;0,"OVERDUE",IF(T235&lt;=Settings!$B$5,"ORDER SOON","OK"))))))</f>
        <v/>
      </c>
      <c r="V235" s="15" t="n"/>
    </row>
    <row r="236">
      <c r="A236" s="14">
        <f>IF(B236="","",IF(C236="Epic",IFERROR(INDEX(Lists!$A:$A,MATCH(B236,Lists!$B:$B,0)),"?"),1000+ROW()))</f>
        <v/>
      </c>
      <c r="B236" s="15" t="n"/>
      <c r="C236" s="15" t="n"/>
      <c r="D236" s="15" t="n"/>
      <c r="E236" s="14">
        <f>IF(OR(C236="Epic",D236=""),"",IFERROR(INDEX(Lists!$A:$A,MATCH(D236,Lists!$B:$B,0)),""))</f>
        <v/>
      </c>
      <c r="F236" s="15" t="n"/>
      <c r="G236" s="15" t="n"/>
      <c r="H236" s="15" t="n"/>
      <c r="I236" s="15" t="n"/>
      <c r="J236" s="16" t="n"/>
      <c r="K236" s="16" t="n"/>
      <c r="L236" s="17">
        <f>IF(OR(C236="Epic",J236=""),"",MAX(0,J236-N(K236)))</f>
        <v/>
      </c>
      <c r="M236" s="18" t="n"/>
      <c r="N236" s="19">
        <f>IF(OR(L236="",M236=""),"",L236*M236)</f>
        <v/>
      </c>
      <c r="O236" s="15" t="n"/>
      <c r="P236" s="16" t="n"/>
      <c r="Q236" s="20" t="n"/>
      <c r="R236" s="21">
        <f>IF(OR(B236="",C236="Epic"),"",IF(Q236="",Settings!$B$3,Q236))</f>
        <v/>
      </c>
      <c r="S236" s="21">
        <f>IF(OR(R236="",P236="",N(L236)=0),"",R236-P236-Settings!$B$4)</f>
        <v/>
      </c>
      <c r="T236" s="17">
        <f>IF(S236="","",S236-TODAY())</f>
        <v/>
      </c>
      <c r="U236" s="14">
        <f>IF(OR(B236="",C236="Epic"),"",IF(N(L236)=0,IF(J236="","","ON HAND"),IF(OR(O236="Ordered",O236="Shipped",O236="Received"),O236,IF(S236="","NEED LEAD TIME",IF(T236&lt;0,"OVERDUE",IF(T236&lt;=Settings!$B$5,"ORDER SOON","OK"))))))</f>
        <v/>
      </c>
      <c r="V236" s="15" t="n"/>
    </row>
    <row r="237">
      <c r="A237" s="14">
        <f>IF(B237="","",IF(C237="Epic",IFERROR(INDEX(Lists!$A:$A,MATCH(B237,Lists!$B:$B,0)),"?"),1000+ROW()))</f>
        <v/>
      </c>
      <c r="B237" s="15" t="n"/>
      <c r="C237" s="15" t="n"/>
      <c r="D237" s="15" t="n"/>
      <c r="E237" s="14">
        <f>IF(OR(C237="Epic",D237=""),"",IFERROR(INDEX(Lists!$A:$A,MATCH(D237,Lists!$B:$B,0)),""))</f>
        <v/>
      </c>
      <c r="F237" s="15" t="n"/>
      <c r="G237" s="15" t="n"/>
      <c r="H237" s="15" t="n"/>
      <c r="I237" s="15" t="n"/>
      <c r="J237" s="16" t="n"/>
      <c r="K237" s="16" t="n"/>
      <c r="L237" s="17">
        <f>IF(OR(C237="Epic",J237=""),"",MAX(0,J237-N(K237)))</f>
        <v/>
      </c>
      <c r="M237" s="18" t="n"/>
      <c r="N237" s="19">
        <f>IF(OR(L237="",M237=""),"",L237*M237)</f>
        <v/>
      </c>
      <c r="O237" s="15" t="n"/>
      <c r="P237" s="16" t="n"/>
      <c r="Q237" s="20" t="n"/>
      <c r="R237" s="21">
        <f>IF(OR(B237="",C237="Epic"),"",IF(Q237="",Settings!$B$3,Q237))</f>
        <v/>
      </c>
      <c r="S237" s="21">
        <f>IF(OR(R237="",P237="",N(L237)=0),"",R237-P237-Settings!$B$4)</f>
        <v/>
      </c>
      <c r="T237" s="17">
        <f>IF(S237="","",S237-TODAY())</f>
        <v/>
      </c>
      <c r="U237" s="14">
        <f>IF(OR(B237="",C237="Epic"),"",IF(N(L237)=0,IF(J237="","","ON HAND"),IF(OR(O237="Ordered",O237="Shipped",O237="Received"),O237,IF(S237="","NEED LEAD TIME",IF(T237&lt;0,"OVERDUE",IF(T237&lt;=Settings!$B$5,"ORDER SOON","OK"))))))</f>
        <v/>
      </c>
      <c r="V237" s="15" t="n"/>
    </row>
    <row r="238">
      <c r="A238" s="14">
        <f>IF(B238="","",IF(C238="Epic",IFERROR(INDEX(Lists!$A:$A,MATCH(B238,Lists!$B:$B,0)),"?"),1000+ROW()))</f>
        <v/>
      </c>
      <c r="B238" s="15" t="n"/>
      <c r="C238" s="15" t="n"/>
      <c r="D238" s="15" t="n"/>
      <c r="E238" s="14">
        <f>IF(OR(C238="Epic",D238=""),"",IFERROR(INDEX(Lists!$A:$A,MATCH(D238,Lists!$B:$B,0)),""))</f>
        <v/>
      </c>
      <c r="F238" s="15" t="n"/>
      <c r="G238" s="15" t="n"/>
      <c r="H238" s="15" t="n"/>
      <c r="I238" s="15" t="n"/>
      <c r="J238" s="16" t="n"/>
      <c r="K238" s="16" t="n"/>
      <c r="L238" s="17">
        <f>IF(OR(C238="Epic",J238=""),"",MAX(0,J238-N(K238)))</f>
        <v/>
      </c>
      <c r="M238" s="18" t="n"/>
      <c r="N238" s="19">
        <f>IF(OR(L238="",M238=""),"",L238*M238)</f>
        <v/>
      </c>
      <c r="O238" s="15" t="n"/>
      <c r="P238" s="16" t="n"/>
      <c r="Q238" s="20" t="n"/>
      <c r="R238" s="21">
        <f>IF(OR(B238="",C238="Epic"),"",IF(Q238="",Settings!$B$3,Q238))</f>
        <v/>
      </c>
      <c r="S238" s="21">
        <f>IF(OR(R238="",P238="",N(L238)=0),"",R238-P238-Settings!$B$4)</f>
        <v/>
      </c>
      <c r="T238" s="17">
        <f>IF(S238="","",S238-TODAY())</f>
        <v/>
      </c>
      <c r="U238" s="14">
        <f>IF(OR(B238="",C238="Epic"),"",IF(N(L238)=0,IF(J238="","","ON HAND"),IF(OR(O238="Ordered",O238="Shipped",O238="Received"),O238,IF(S238="","NEED LEAD TIME",IF(T238&lt;0,"OVERDUE",IF(T238&lt;=Settings!$B$5,"ORDER SOON","OK"))))))</f>
        <v/>
      </c>
      <c r="V238" s="15" t="n"/>
    </row>
    <row r="239">
      <c r="A239" s="14">
        <f>IF(B239="","",IF(C239="Epic",IFERROR(INDEX(Lists!$A:$A,MATCH(B239,Lists!$B:$B,0)),"?"),1000+ROW()))</f>
        <v/>
      </c>
      <c r="B239" s="15" t="n"/>
      <c r="C239" s="15" t="n"/>
      <c r="D239" s="15" t="n"/>
      <c r="E239" s="14">
        <f>IF(OR(C239="Epic",D239=""),"",IFERROR(INDEX(Lists!$A:$A,MATCH(D239,Lists!$B:$B,0)),""))</f>
        <v/>
      </c>
      <c r="F239" s="15" t="n"/>
      <c r="G239" s="15" t="n"/>
      <c r="H239" s="15" t="n"/>
      <c r="I239" s="15" t="n"/>
      <c r="J239" s="16" t="n"/>
      <c r="K239" s="16" t="n"/>
      <c r="L239" s="17">
        <f>IF(OR(C239="Epic",J239=""),"",MAX(0,J239-N(K239)))</f>
        <v/>
      </c>
      <c r="M239" s="18" t="n"/>
      <c r="N239" s="19">
        <f>IF(OR(L239="",M239=""),"",L239*M239)</f>
        <v/>
      </c>
      <c r="O239" s="15" t="n"/>
      <c r="P239" s="16" t="n"/>
      <c r="Q239" s="20" t="n"/>
      <c r="R239" s="21">
        <f>IF(OR(B239="",C239="Epic"),"",IF(Q239="",Settings!$B$3,Q239))</f>
        <v/>
      </c>
      <c r="S239" s="21">
        <f>IF(OR(R239="",P239="",N(L239)=0),"",R239-P239-Settings!$B$4)</f>
        <v/>
      </c>
      <c r="T239" s="17">
        <f>IF(S239="","",S239-TODAY())</f>
        <v/>
      </c>
      <c r="U239" s="14">
        <f>IF(OR(B239="",C239="Epic"),"",IF(N(L239)=0,IF(J239="","","ON HAND"),IF(OR(O239="Ordered",O239="Shipped",O239="Received"),O239,IF(S239="","NEED LEAD TIME",IF(T239&lt;0,"OVERDUE",IF(T239&lt;=Settings!$B$5,"ORDER SOON","OK"))))))</f>
        <v/>
      </c>
      <c r="V239" s="15" t="n"/>
    </row>
    <row r="240">
      <c r="A240" s="14">
        <f>IF(B240="","",IF(C240="Epic",IFERROR(INDEX(Lists!$A:$A,MATCH(B240,Lists!$B:$B,0)),"?"),1000+ROW()))</f>
        <v/>
      </c>
      <c r="B240" s="15" t="n"/>
      <c r="C240" s="15" t="n"/>
      <c r="D240" s="15" t="n"/>
      <c r="E240" s="14">
        <f>IF(OR(C240="Epic",D240=""),"",IFERROR(INDEX(Lists!$A:$A,MATCH(D240,Lists!$B:$B,0)),""))</f>
        <v/>
      </c>
      <c r="F240" s="15" t="n"/>
      <c r="G240" s="15" t="n"/>
      <c r="H240" s="15" t="n"/>
      <c r="I240" s="15" t="n"/>
      <c r="J240" s="16" t="n"/>
      <c r="K240" s="16" t="n"/>
      <c r="L240" s="17">
        <f>IF(OR(C240="Epic",J240=""),"",MAX(0,J240-N(K240)))</f>
        <v/>
      </c>
      <c r="M240" s="18" t="n"/>
      <c r="N240" s="19">
        <f>IF(OR(L240="",M240=""),"",L240*M240)</f>
        <v/>
      </c>
      <c r="O240" s="15" t="n"/>
      <c r="P240" s="16" t="n"/>
      <c r="Q240" s="20" t="n"/>
      <c r="R240" s="21">
        <f>IF(OR(B240="",C240="Epic"),"",IF(Q240="",Settings!$B$3,Q240))</f>
        <v/>
      </c>
      <c r="S240" s="21">
        <f>IF(OR(R240="",P240="",N(L240)=0),"",R240-P240-Settings!$B$4)</f>
        <v/>
      </c>
      <c r="T240" s="17">
        <f>IF(S240="","",S240-TODAY())</f>
        <v/>
      </c>
      <c r="U240" s="14">
        <f>IF(OR(B240="",C240="Epic"),"",IF(N(L240)=0,IF(J240="","","ON HAND"),IF(OR(O240="Ordered",O240="Shipped",O240="Received"),O240,IF(S240="","NEED LEAD TIME",IF(T240&lt;0,"OVERDUE",IF(T240&lt;=Settings!$B$5,"ORDER SOON","OK"))))))</f>
        <v/>
      </c>
      <c r="V240" s="15" t="n"/>
    </row>
    <row r="241">
      <c r="A241" s="14">
        <f>IF(B241="","",IF(C241="Epic",IFERROR(INDEX(Lists!$A:$A,MATCH(B241,Lists!$B:$B,0)),"?"),1000+ROW()))</f>
        <v/>
      </c>
      <c r="B241" s="15" t="n"/>
      <c r="C241" s="15" t="n"/>
      <c r="D241" s="15" t="n"/>
      <c r="E241" s="14">
        <f>IF(OR(C241="Epic",D241=""),"",IFERROR(INDEX(Lists!$A:$A,MATCH(D241,Lists!$B:$B,0)),""))</f>
        <v/>
      </c>
      <c r="F241" s="15" t="n"/>
      <c r="G241" s="15" t="n"/>
      <c r="H241" s="15" t="n"/>
      <c r="I241" s="15" t="n"/>
      <c r="J241" s="16" t="n"/>
      <c r="K241" s="16" t="n"/>
      <c r="L241" s="17">
        <f>IF(OR(C241="Epic",J241=""),"",MAX(0,J241-N(K241)))</f>
        <v/>
      </c>
      <c r="M241" s="18" t="n"/>
      <c r="N241" s="19">
        <f>IF(OR(L241="",M241=""),"",L241*M241)</f>
        <v/>
      </c>
      <c r="O241" s="15" t="n"/>
      <c r="P241" s="16" t="n"/>
      <c r="Q241" s="20" t="n"/>
      <c r="R241" s="21">
        <f>IF(OR(B241="",C241="Epic"),"",IF(Q241="",Settings!$B$3,Q241))</f>
        <v/>
      </c>
      <c r="S241" s="21">
        <f>IF(OR(R241="",P241="",N(L241)=0),"",R241-P241-Settings!$B$4)</f>
        <v/>
      </c>
      <c r="T241" s="17">
        <f>IF(S241="","",S241-TODAY())</f>
        <v/>
      </c>
      <c r="U241" s="14">
        <f>IF(OR(B241="",C241="Epic"),"",IF(N(L241)=0,IF(J241="","","ON HAND"),IF(OR(O241="Ordered",O241="Shipped",O241="Received"),O241,IF(S241="","NEED LEAD TIME",IF(T241&lt;0,"OVERDUE",IF(T241&lt;=Settings!$B$5,"ORDER SOON","OK"))))))</f>
        <v/>
      </c>
      <c r="V241" s="15" t="n"/>
    </row>
    <row r="242">
      <c r="A242" s="14">
        <f>IF(B242="","",IF(C242="Epic",IFERROR(INDEX(Lists!$A:$A,MATCH(B242,Lists!$B:$B,0)),"?"),1000+ROW()))</f>
        <v/>
      </c>
      <c r="B242" s="15" t="n"/>
      <c r="C242" s="15" t="n"/>
      <c r="D242" s="15" t="n"/>
      <c r="E242" s="14">
        <f>IF(OR(C242="Epic",D242=""),"",IFERROR(INDEX(Lists!$A:$A,MATCH(D242,Lists!$B:$B,0)),""))</f>
        <v/>
      </c>
      <c r="F242" s="15" t="n"/>
      <c r="G242" s="15" t="n"/>
      <c r="H242" s="15" t="n"/>
      <c r="I242" s="15" t="n"/>
      <c r="J242" s="16" t="n"/>
      <c r="K242" s="16" t="n"/>
      <c r="L242" s="17">
        <f>IF(OR(C242="Epic",J242=""),"",MAX(0,J242-N(K242)))</f>
        <v/>
      </c>
      <c r="M242" s="18" t="n"/>
      <c r="N242" s="19">
        <f>IF(OR(L242="",M242=""),"",L242*M242)</f>
        <v/>
      </c>
      <c r="O242" s="15" t="n"/>
      <c r="P242" s="16" t="n"/>
      <c r="Q242" s="20" t="n"/>
      <c r="R242" s="21">
        <f>IF(OR(B242="",C242="Epic"),"",IF(Q242="",Settings!$B$3,Q242))</f>
        <v/>
      </c>
      <c r="S242" s="21">
        <f>IF(OR(R242="",P242="",N(L242)=0),"",R242-P242-Settings!$B$4)</f>
        <v/>
      </c>
      <c r="T242" s="17">
        <f>IF(S242="","",S242-TODAY())</f>
        <v/>
      </c>
      <c r="U242" s="14">
        <f>IF(OR(B242="",C242="Epic"),"",IF(N(L242)=0,IF(J242="","","ON HAND"),IF(OR(O242="Ordered",O242="Shipped",O242="Received"),O242,IF(S242="","NEED LEAD TIME",IF(T242&lt;0,"OVERDUE",IF(T242&lt;=Settings!$B$5,"ORDER SOON","OK"))))))</f>
        <v/>
      </c>
      <c r="V242" s="15" t="n"/>
    </row>
    <row r="243">
      <c r="A243" s="14">
        <f>IF(B243="","",IF(C243="Epic",IFERROR(INDEX(Lists!$A:$A,MATCH(B243,Lists!$B:$B,0)),"?"),1000+ROW()))</f>
        <v/>
      </c>
      <c r="B243" s="15" t="n"/>
      <c r="C243" s="15" t="n"/>
      <c r="D243" s="15" t="n"/>
      <c r="E243" s="14">
        <f>IF(OR(C243="Epic",D243=""),"",IFERROR(INDEX(Lists!$A:$A,MATCH(D243,Lists!$B:$B,0)),""))</f>
        <v/>
      </c>
      <c r="F243" s="15" t="n"/>
      <c r="G243" s="15" t="n"/>
      <c r="H243" s="15" t="n"/>
      <c r="I243" s="15" t="n"/>
      <c r="J243" s="16" t="n"/>
      <c r="K243" s="16" t="n"/>
      <c r="L243" s="17">
        <f>IF(OR(C243="Epic",J243=""),"",MAX(0,J243-N(K243)))</f>
        <v/>
      </c>
      <c r="M243" s="18" t="n"/>
      <c r="N243" s="19">
        <f>IF(OR(L243="",M243=""),"",L243*M243)</f>
        <v/>
      </c>
      <c r="O243" s="15" t="n"/>
      <c r="P243" s="16" t="n"/>
      <c r="Q243" s="20" t="n"/>
      <c r="R243" s="21">
        <f>IF(OR(B243="",C243="Epic"),"",IF(Q243="",Settings!$B$3,Q243))</f>
        <v/>
      </c>
      <c r="S243" s="21">
        <f>IF(OR(R243="",P243="",N(L243)=0),"",R243-P243-Settings!$B$4)</f>
        <v/>
      </c>
      <c r="T243" s="17">
        <f>IF(S243="","",S243-TODAY())</f>
        <v/>
      </c>
      <c r="U243" s="14">
        <f>IF(OR(B243="",C243="Epic"),"",IF(N(L243)=0,IF(J243="","","ON HAND"),IF(OR(O243="Ordered",O243="Shipped",O243="Received"),O243,IF(S243="","NEED LEAD TIME",IF(T243&lt;0,"OVERDUE",IF(T243&lt;=Settings!$B$5,"ORDER SOON","OK"))))))</f>
        <v/>
      </c>
      <c r="V243" s="15" t="n"/>
    </row>
    <row r="244">
      <c r="A244" s="14">
        <f>IF(B244="","",IF(C244="Epic",IFERROR(INDEX(Lists!$A:$A,MATCH(B244,Lists!$B:$B,0)),"?"),1000+ROW()))</f>
        <v/>
      </c>
      <c r="B244" s="15" t="n"/>
      <c r="C244" s="15" t="n"/>
      <c r="D244" s="15" t="n"/>
      <c r="E244" s="14">
        <f>IF(OR(C244="Epic",D244=""),"",IFERROR(INDEX(Lists!$A:$A,MATCH(D244,Lists!$B:$B,0)),""))</f>
        <v/>
      </c>
      <c r="F244" s="15" t="n"/>
      <c r="G244" s="15" t="n"/>
      <c r="H244" s="15" t="n"/>
      <c r="I244" s="15" t="n"/>
      <c r="J244" s="16" t="n"/>
      <c r="K244" s="16" t="n"/>
      <c r="L244" s="17">
        <f>IF(OR(C244="Epic",J244=""),"",MAX(0,J244-N(K244)))</f>
        <v/>
      </c>
      <c r="M244" s="18" t="n"/>
      <c r="N244" s="19">
        <f>IF(OR(L244="",M244=""),"",L244*M244)</f>
        <v/>
      </c>
      <c r="O244" s="15" t="n"/>
      <c r="P244" s="16" t="n"/>
      <c r="Q244" s="20" t="n"/>
      <c r="R244" s="21">
        <f>IF(OR(B244="",C244="Epic"),"",IF(Q244="",Settings!$B$3,Q244))</f>
        <v/>
      </c>
      <c r="S244" s="21">
        <f>IF(OR(R244="",P244="",N(L244)=0),"",R244-P244-Settings!$B$4)</f>
        <v/>
      </c>
      <c r="T244" s="17">
        <f>IF(S244="","",S244-TODAY())</f>
        <v/>
      </c>
      <c r="U244" s="14">
        <f>IF(OR(B244="",C244="Epic"),"",IF(N(L244)=0,IF(J244="","","ON HAND"),IF(OR(O244="Ordered",O244="Shipped",O244="Received"),O244,IF(S244="","NEED LEAD TIME",IF(T244&lt;0,"OVERDUE",IF(T244&lt;=Settings!$B$5,"ORDER SOON","OK"))))))</f>
        <v/>
      </c>
      <c r="V244" s="15" t="n"/>
    </row>
    <row r="245">
      <c r="A245" s="14">
        <f>IF(B245="","",IF(C245="Epic",IFERROR(INDEX(Lists!$A:$A,MATCH(B245,Lists!$B:$B,0)),"?"),1000+ROW()))</f>
        <v/>
      </c>
      <c r="B245" s="15" t="n"/>
      <c r="C245" s="15" t="n"/>
      <c r="D245" s="15" t="n"/>
      <c r="E245" s="14">
        <f>IF(OR(C245="Epic",D245=""),"",IFERROR(INDEX(Lists!$A:$A,MATCH(D245,Lists!$B:$B,0)),""))</f>
        <v/>
      </c>
      <c r="F245" s="15" t="n"/>
      <c r="G245" s="15" t="n"/>
      <c r="H245" s="15" t="n"/>
      <c r="I245" s="15" t="n"/>
      <c r="J245" s="16" t="n"/>
      <c r="K245" s="16" t="n"/>
      <c r="L245" s="17">
        <f>IF(OR(C245="Epic",J245=""),"",MAX(0,J245-N(K245)))</f>
        <v/>
      </c>
      <c r="M245" s="18" t="n"/>
      <c r="N245" s="19">
        <f>IF(OR(L245="",M245=""),"",L245*M245)</f>
        <v/>
      </c>
      <c r="O245" s="15" t="n"/>
      <c r="P245" s="16" t="n"/>
      <c r="Q245" s="20" t="n"/>
      <c r="R245" s="21">
        <f>IF(OR(B245="",C245="Epic"),"",IF(Q245="",Settings!$B$3,Q245))</f>
        <v/>
      </c>
      <c r="S245" s="21">
        <f>IF(OR(R245="",P245="",N(L245)=0),"",R245-P245-Settings!$B$4)</f>
        <v/>
      </c>
      <c r="T245" s="17">
        <f>IF(S245="","",S245-TODAY())</f>
        <v/>
      </c>
      <c r="U245" s="14">
        <f>IF(OR(B245="",C245="Epic"),"",IF(N(L245)=0,IF(J245="","","ON HAND"),IF(OR(O245="Ordered",O245="Shipped",O245="Received"),O245,IF(S245="","NEED LEAD TIME",IF(T245&lt;0,"OVERDUE",IF(T245&lt;=Settings!$B$5,"ORDER SOON","OK"))))))</f>
        <v/>
      </c>
      <c r="V245" s="15" t="n"/>
    </row>
    <row r="246">
      <c r="A246" s="14">
        <f>IF(B246="","",IF(C246="Epic",IFERROR(INDEX(Lists!$A:$A,MATCH(B246,Lists!$B:$B,0)),"?"),1000+ROW()))</f>
        <v/>
      </c>
      <c r="B246" s="15" t="n"/>
      <c r="C246" s="15" t="n"/>
      <c r="D246" s="15" t="n"/>
      <c r="E246" s="14">
        <f>IF(OR(C246="Epic",D246=""),"",IFERROR(INDEX(Lists!$A:$A,MATCH(D246,Lists!$B:$B,0)),""))</f>
        <v/>
      </c>
      <c r="F246" s="15" t="n"/>
      <c r="G246" s="15" t="n"/>
      <c r="H246" s="15" t="n"/>
      <c r="I246" s="15" t="n"/>
      <c r="J246" s="16" t="n"/>
      <c r="K246" s="16" t="n"/>
      <c r="L246" s="17">
        <f>IF(OR(C246="Epic",J246=""),"",MAX(0,J246-N(K246)))</f>
        <v/>
      </c>
      <c r="M246" s="18" t="n"/>
      <c r="N246" s="19">
        <f>IF(OR(L246="",M246=""),"",L246*M246)</f>
        <v/>
      </c>
      <c r="O246" s="15" t="n"/>
      <c r="P246" s="16" t="n"/>
      <c r="Q246" s="20" t="n"/>
      <c r="R246" s="21">
        <f>IF(OR(B246="",C246="Epic"),"",IF(Q246="",Settings!$B$3,Q246))</f>
        <v/>
      </c>
      <c r="S246" s="21">
        <f>IF(OR(R246="",P246="",N(L246)=0),"",R246-P246-Settings!$B$4)</f>
        <v/>
      </c>
      <c r="T246" s="17">
        <f>IF(S246="","",S246-TODAY())</f>
        <v/>
      </c>
      <c r="U246" s="14">
        <f>IF(OR(B246="",C246="Epic"),"",IF(N(L246)=0,IF(J246="","","ON HAND"),IF(OR(O246="Ordered",O246="Shipped",O246="Received"),O246,IF(S246="","NEED LEAD TIME",IF(T246&lt;0,"OVERDUE",IF(T246&lt;=Settings!$B$5,"ORDER SOON","OK"))))))</f>
        <v/>
      </c>
      <c r="V246" s="15" t="n"/>
    </row>
    <row r="247">
      <c r="A247" s="14">
        <f>IF(B247="","",IF(C247="Epic",IFERROR(INDEX(Lists!$A:$A,MATCH(B247,Lists!$B:$B,0)),"?"),1000+ROW()))</f>
        <v/>
      </c>
      <c r="B247" s="15" t="n"/>
      <c r="C247" s="15" t="n"/>
      <c r="D247" s="15" t="n"/>
      <c r="E247" s="14">
        <f>IF(OR(C247="Epic",D247=""),"",IFERROR(INDEX(Lists!$A:$A,MATCH(D247,Lists!$B:$B,0)),""))</f>
        <v/>
      </c>
      <c r="F247" s="15" t="n"/>
      <c r="G247" s="15" t="n"/>
      <c r="H247" s="15" t="n"/>
      <c r="I247" s="15" t="n"/>
      <c r="J247" s="16" t="n"/>
      <c r="K247" s="16" t="n"/>
      <c r="L247" s="17">
        <f>IF(OR(C247="Epic",J247=""),"",MAX(0,J247-N(K247)))</f>
        <v/>
      </c>
      <c r="M247" s="18" t="n"/>
      <c r="N247" s="19">
        <f>IF(OR(L247="",M247=""),"",L247*M247)</f>
        <v/>
      </c>
      <c r="O247" s="15" t="n"/>
      <c r="P247" s="16" t="n"/>
      <c r="Q247" s="20" t="n"/>
      <c r="R247" s="21">
        <f>IF(OR(B247="",C247="Epic"),"",IF(Q247="",Settings!$B$3,Q247))</f>
        <v/>
      </c>
      <c r="S247" s="21">
        <f>IF(OR(R247="",P247="",N(L247)=0),"",R247-P247-Settings!$B$4)</f>
        <v/>
      </c>
      <c r="T247" s="17">
        <f>IF(S247="","",S247-TODAY())</f>
        <v/>
      </c>
      <c r="U247" s="14">
        <f>IF(OR(B247="",C247="Epic"),"",IF(N(L247)=0,IF(J247="","","ON HAND"),IF(OR(O247="Ordered",O247="Shipped",O247="Received"),O247,IF(S247="","NEED LEAD TIME",IF(T247&lt;0,"OVERDUE",IF(T247&lt;=Settings!$B$5,"ORDER SOON","OK"))))))</f>
        <v/>
      </c>
      <c r="V247" s="15" t="n"/>
    </row>
    <row r="248">
      <c r="A248" s="14">
        <f>IF(B248="","",IF(C248="Epic",IFERROR(INDEX(Lists!$A:$A,MATCH(B248,Lists!$B:$B,0)),"?"),1000+ROW()))</f>
        <v/>
      </c>
      <c r="B248" s="15" t="n"/>
      <c r="C248" s="15" t="n"/>
      <c r="D248" s="15" t="n"/>
      <c r="E248" s="14">
        <f>IF(OR(C248="Epic",D248=""),"",IFERROR(INDEX(Lists!$A:$A,MATCH(D248,Lists!$B:$B,0)),""))</f>
        <v/>
      </c>
      <c r="F248" s="15" t="n"/>
      <c r="G248" s="15" t="n"/>
      <c r="H248" s="15" t="n"/>
      <c r="I248" s="15" t="n"/>
      <c r="J248" s="16" t="n"/>
      <c r="K248" s="16" t="n"/>
      <c r="L248" s="17">
        <f>IF(OR(C248="Epic",J248=""),"",MAX(0,J248-N(K248)))</f>
        <v/>
      </c>
      <c r="M248" s="18" t="n"/>
      <c r="N248" s="19">
        <f>IF(OR(L248="",M248=""),"",L248*M248)</f>
        <v/>
      </c>
      <c r="O248" s="15" t="n"/>
      <c r="P248" s="16" t="n"/>
      <c r="Q248" s="20" t="n"/>
      <c r="R248" s="21">
        <f>IF(OR(B248="",C248="Epic"),"",IF(Q248="",Settings!$B$3,Q248))</f>
        <v/>
      </c>
      <c r="S248" s="21">
        <f>IF(OR(R248="",P248="",N(L248)=0),"",R248-P248-Settings!$B$4)</f>
        <v/>
      </c>
      <c r="T248" s="17">
        <f>IF(S248="","",S248-TODAY())</f>
        <v/>
      </c>
      <c r="U248" s="14">
        <f>IF(OR(B248="",C248="Epic"),"",IF(N(L248)=0,IF(J248="","","ON HAND"),IF(OR(O248="Ordered",O248="Shipped",O248="Received"),O248,IF(S248="","NEED LEAD TIME",IF(T248&lt;0,"OVERDUE",IF(T248&lt;=Settings!$B$5,"ORDER SOON","OK"))))))</f>
        <v/>
      </c>
      <c r="V248" s="15" t="n"/>
    </row>
    <row r="249">
      <c r="A249" s="14">
        <f>IF(B249="","",IF(C249="Epic",IFERROR(INDEX(Lists!$A:$A,MATCH(B249,Lists!$B:$B,0)),"?"),1000+ROW()))</f>
        <v/>
      </c>
      <c r="B249" s="15" t="n"/>
      <c r="C249" s="15" t="n"/>
      <c r="D249" s="15" t="n"/>
      <c r="E249" s="14">
        <f>IF(OR(C249="Epic",D249=""),"",IFERROR(INDEX(Lists!$A:$A,MATCH(D249,Lists!$B:$B,0)),""))</f>
        <v/>
      </c>
      <c r="F249" s="15" t="n"/>
      <c r="G249" s="15" t="n"/>
      <c r="H249" s="15" t="n"/>
      <c r="I249" s="15" t="n"/>
      <c r="J249" s="16" t="n"/>
      <c r="K249" s="16" t="n"/>
      <c r="L249" s="17">
        <f>IF(OR(C249="Epic",J249=""),"",MAX(0,J249-N(K249)))</f>
        <v/>
      </c>
      <c r="M249" s="18" t="n"/>
      <c r="N249" s="19">
        <f>IF(OR(L249="",M249=""),"",L249*M249)</f>
        <v/>
      </c>
      <c r="O249" s="15" t="n"/>
      <c r="P249" s="16" t="n"/>
      <c r="Q249" s="20" t="n"/>
      <c r="R249" s="21">
        <f>IF(OR(B249="",C249="Epic"),"",IF(Q249="",Settings!$B$3,Q249))</f>
        <v/>
      </c>
      <c r="S249" s="21">
        <f>IF(OR(R249="",P249="",N(L249)=0),"",R249-P249-Settings!$B$4)</f>
        <v/>
      </c>
      <c r="T249" s="17">
        <f>IF(S249="","",S249-TODAY())</f>
        <v/>
      </c>
      <c r="U249" s="14">
        <f>IF(OR(B249="",C249="Epic"),"",IF(N(L249)=0,IF(J249="","","ON HAND"),IF(OR(O249="Ordered",O249="Shipped",O249="Received"),O249,IF(S249="","NEED LEAD TIME",IF(T249&lt;0,"OVERDUE",IF(T249&lt;=Settings!$B$5,"ORDER SOON","OK"))))))</f>
        <v/>
      </c>
      <c r="V249" s="15" t="n"/>
    </row>
    <row r="250">
      <c r="A250" s="14">
        <f>IF(B250="","",IF(C250="Epic",IFERROR(INDEX(Lists!$A:$A,MATCH(B250,Lists!$B:$B,0)),"?"),1000+ROW()))</f>
        <v/>
      </c>
      <c r="B250" s="15" t="n"/>
      <c r="C250" s="15" t="n"/>
      <c r="D250" s="15" t="n"/>
      <c r="E250" s="14">
        <f>IF(OR(C250="Epic",D250=""),"",IFERROR(INDEX(Lists!$A:$A,MATCH(D250,Lists!$B:$B,0)),""))</f>
        <v/>
      </c>
      <c r="F250" s="15" t="n"/>
      <c r="G250" s="15" t="n"/>
      <c r="H250" s="15" t="n"/>
      <c r="I250" s="15" t="n"/>
      <c r="J250" s="16" t="n"/>
      <c r="K250" s="16" t="n"/>
      <c r="L250" s="17">
        <f>IF(OR(C250="Epic",J250=""),"",MAX(0,J250-N(K250)))</f>
        <v/>
      </c>
      <c r="M250" s="18" t="n"/>
      <c r="N250" s="19">
        <f>IF(OR(L250="",M250=""),"",L250*M250)</f>
        <v/>
      </c>
      <c r="O250" s="15" t="n"/>
      <c r="P250" s="16" t="n"/>
      <c r="Q250" s="20" t="n"/>
      <c r="R250" s="21">
        <f>IF(OR(B250="",C250="Epic"),"",IF(Q250="",Settings!$B$3,Q250))</f>
        <v/>
      </c>
      <c r="S250" s="21">
        <f>IF(OR(R250="",P250="",N(L250)=0),"",R250-P250-Settings!$B$4)</f>
        <v/>
      </c>
      <c r="T250" s="17">
        <f>IF(S250="","",S250-TODAY())</f>
        <v/>
      </c>
      <c r="U250" s="14">
        <f>IF(OR(B250="",C250="Epic"),"",IF(N(L250)=0,IF(J250="","","ON HAND"),IF(OR(O250="Ordered",O250="Shipped",O250="Received"),O250,IF(S250="","NEED LEAD TIME",IF(T250&lt;0,"OVERDUE",IF(T250&lt;=Settings!$B$5,"ORDER SOON","OK"))))))</f>
        <v/>
      </c>
      <c r="V250" s="15" t="n"/>
    </row>
    <row r="251">
      <c r="A251" s="14">
        <f>IF(B251="","",IF(C251="Epic",IFERROR(INDEX(Lists!$A:$A,MATCH(B251,Lists!$B:$B,0)),"?"),1000+ROW()))</f>
        <v/>
      </c>
      <c r="B251" s="15" t="n"/>
      <c r="C251" s="15" t="n"/>
      <c r="D251" s="15" t="n"/>
      <c r="E251" s="14">
        <f>IF(OR(C251="Epic",D251=""),"",IFERROR(INDEX(Lists!$A:$A,MATCH(D251,Lists!$B:$B,0)),""))</f>
        <v/>
      </c>
      <c r="F251" s="15" t="n"/>
      <c r="G251" s="15" t="n"/>
      <c r="H251" s="15" t="n"/>
      <c r="I251" s="15" t="n"/>
      <c r="J251" s="16" t="n"/>
      <c r="K251" s="16" t="n"/>
      <c r="L251" s="17">
        <f>IF(OR(C251="Epic",J251=""),"",MAX(0,J251-N(K251)))</f>
        <v/>
      </c>
      <c r="M251" s="18" t="n"/>
      <c r="N251" s="19">
        <f>IF(OR(L251="",M251=""),"",L251*M251)</f>
        <v/>
      </c>
      <c r="O251" s="15" t="n"/>
      <c r="P251" s="16" t="n"/>
      <c r="Q251" s="20" t="n"/>
      <c r="R251" s="21">
        <f>IF(OR(B251="",C251="Epic"),"",IF(Q251="",Settings!$B$3,Q251))</f>
        <v/>
      </c>
      <c r="S251" s="21">
        <f>IF(OR(R251="",P251="",N(L251)=0),"",R251-P251-Settings!$B$4)</f>
        <v/>
      </c>
      <c r="T251" s="17">
        <f>IF(S251="","",S251-TODAY())</f>
        <v/>
      </c>
      <c r="U251" s="14">
        <f>IF(OR(B251="",C251="Epic"),"",IF(N(L251)=0,IF(J251="","","ON HAND"),IF(OR(O251="Ordered",O251="Shipped",O251="Received"),O251,IF(S251="","NEED LEAD TIME",IF(T251&lt;0,"OVERDUE",IF(T251&lt;=Settings!$B$5,"ORDER SOON","OK"))))))</f>
        <v/>
      </c>
      <c r="V251" s="15" t="n"/>
    </row>
    <row r="252">
      <c r="A252" s="14">
        <f>IF(B252="","",IF(C252="Epic",IFERROR(INDEX(Lists!$A:$A,MATCH(B252,Lists!$B:$B,0)),"?"),1000+ROW()))</f>
        <v/>
      </c>
      <c r="B252" s="15" t="n"/>
      <c r="C252" s="15" t="n"/>
      <c r="D252" s="15" t="n"/>
      <c r="E252" s="14">
        <f>IF(OR(C252="Epic",D252=""),"",IFERROR(INDEX(Lists!$A:$A,MATCH(D252,Lists!$B:$B,0)),""))</f>
        <v/>
      </c>
      <c r="F252" s="15" t="n"/>
      <c r="G252" s="15" t="n"/>
      <c r="H252" s="15" t="n"/>
      <c r="I252" s="15" t="n"/>
      <c r="J252" s="16" t="n"/>
      <c r="K252" s="16" t="n"/>
      <c r="L252" s="17">
        <f>IF(OR(C252="Epic",J252=""),"",MAX(0,J252-N(K252)))</f>
        <v/>
      </c>
      <c r="M252" s="18" t="n"/>
      <c r="N252" s="19">
        <f>IF(OR(L252="",M252=""),"",L252*M252)</f>
        <v/>
      </c>
      <c r="O252" s="15" t="n"/>
      <c r="P252" s="16" t="n"/>
      <c r="Q252" s="20" t="n"/>
      <c r="R252" s="21">
        <f>IF(OR(B252="",C252="Epic"),"",IF(Q252="",Settings!$B$3,Q252))</f>
        <v/>
      </c>
      <c r="S252" s="21">
        <f>IF(OR(R252="",P252="",N(L252)=0),"",R252-P252-Settings!$B$4)</f>
        <v/>
      </c>
      <c r="T252" s="17">
        <f>IF(S252="","",S252-TODAY())</f>
        <v/>
      </c>
      <c r="U252" s="14">
        <f>IF(OR(B252="",C252="Epic"),"",IF(N(L252)=0,IF(J252="","","ON HAND"),IF(OR(O252="Ordered",O252="Shipped",O252="Received"),O252,IF(S252="","NEED LEAD TIME",IF(T252&lt;0,"OVERDUE",IF(T252&lt;=Settings!$B$5,"ORDER SOON","OK"))))))</f>
        <v/>
      </c>
      <c r="V252" s="15" t="n"/>
    </row>
    <row r="253">
      <c r="A253" s="14">
        <f>IF(B253="","",IF(C253="Epic",IFERROR(INDEX(Lists!$A:$A,MATCH(B253,Lists!$B:$B,0)),"?"),1000+ROW()))</f>
        <v/>
      </c>
      <c r="B253" s="15" t="n"/>
      <c r="C253" s="15" t="n"/>
      <c r="D253" s="15" t="n"/>
      <c r="E253" s="14">
        <f>IF(OR(C253="Epic",D253=""),"",IFERROR(INDEX(Lists!$A:$A,MATCH(D253,Lists!$B:$B,0)),""))</f>
        <v/>
      </c>
      <c r="F253" s="15" t="n"/>
      <c r="G253" s="15" t="n"/>
      <c r="H253" s="15" t="n"/>
      <c r="I253" s="15" t="n"/>
      <c r="J253" s="16" t="n"/>
      <c r="K253" s="16" t="n"/>
      <c r="L253" s="17">
        <f>IF(OR(C253="Epic",J253=""),"",MAX(0,J253-N(K253)))</f>
        <v/>
      </c>
      <c r="M253" s="18" t="n"/>
      <c r="N253" s="19">
        <f>IF(OR(L253="",M253=""),"",L253*M253)</f>
        <v/>
      </c>
      <c r="O253" s="15" t="n"/>
      <c r="P253" s="16" t="n"/>
      <c r="Q253" s="20" t="n"/>
      <c r="R253" s="21">
        <f>IF(OR(B253="",C253="Epic"),"",IF(Q253="",Settings!$B$3,Q253))</f>
        <v/>
      </c>
      <c r="S253" s="21">
        <f>IF(OR(R253="",P253="",N(L253)=0),"",R253-P253-Settings!$B$4)</f>
        <v/>
      </c>
      <c r="T253" s="17">
        <f>IF(S253="","",S253-TODAY())</f>
        <v/>
      </c>
      <c r="U253" s="14">
        <f>IF(OR(B253="",C253="Epic"),"",IF(N(L253)=0,IF(J253="","","ON HAND"),IF(OR(O253="Ordered",O253="Shipped",O253="Received"),O253,IF(S253="","NEED LEAD TIME",IF(T253&lt;0,"OVERDUE",IF(T253&lt;=Settings!$B$5,"ORDER SOON","OK"))))))</f>
        <v/>
      </c>
      <c r="V253" s="15" t="n"/>
    </row>
    <row r="254">
      <c r="A254" s="14">
        <f>IF(B254="","",IF(C254="Epic",IFERROR(INDEX(Lists!$A:$A,MATCH(B254,Lists!$B:$B,0)),"?"),1000+ROW()))</f>
        <v/>
      </c>
      <c r="B254" s="15" t="n"/>
      <c r="C254" s="15" t="n"/>
      <c r="D254" s="15" t="n"/>
      <c r="E254" s="14">
        <f>IF(OR(C254="Epic",D254=""),"",IFERROR(INDEX(Lists!$A:$A,MATCH(D254,Lists!$B:$B,0)),""))</f>
        <v/>
      </c>
      <c r="F254" s="15" t="n"/>
      <c r="G254" s="15" t="n"/>
      <c r="H254" s="15" t="n"/>
      <c r="I254" s="15" t="n"/>
      <c r="J254" s="16" t="n"/>
      <c r="K254" s="16" t="n"/>
      <c r="L254" s="17">
        <f>IF(OR(C254="Epic",J254=""),"",MAX(0,J254-N(K254)))</f>
        <v/>
      </c>
      <c r="M254" s="18" t="n"/>
      <c r="N254" s="19">
        <f>IF(OR(L254="",M254=""),"",L254*M254)</f>
        <v/>
      </c>
      <c r="O254" s="15" t="n"/>
      <c r="P254" s="16" t="n"/>
      <c r="Q254" s="20" t="n"/>
      <c r="R254" s="21">
        <f>IF(OR(B254="",C254="Epic"),"",IF(Q254="",Settings!$B$3,Q254))</f>
        <v/>
      </c>
      <c r="S254" s="21">
        <f>IF(OR(R254="",P254="",N(L254)=0),"",R254-P254-Settings!$B$4)</f>
        <v/>
      </c>
      <c r="T254" s="17">
        <f>IF(S254="","",S254-TODAY())</f>
        <v/>
      </c>
      <c r="U254" s="14">
        <f>IF(OR(B254="",C254="Epic"),"",IF(N(L254)=0,IF(J254="","","ON HAND"),IF(OR(O254="Ordered",O254="Shipped",O254="Received"),O254,IF(S254="","NEED LEAD TIME",IF(T254&lt;0,"OVERDUE",IF(T254&lt;=Settings!$B$5,"ORDER SOON","OK"))))))</f>
        <v/>
      </c>
      <c r="V254" s="15" t="n"/>
    </row>
    <row r="255">
      <c r="A255" s="14">
        <f>IF(B255="","",IF(C255="Epic",IFERROR(INDEX(Lists!$A:$A,MATCH(B255,Lists!$B:$B,0)),"?"),1000+ROW()))</f>
        <v/>
      </c>
      <c r="B255" s="15" t="n"/>
      <c r="C255" s="15" t="n"/>
      <c r="D255" s="15" t="n"/>
      <c r="E255" s="14">
        <f>IF(OR(C255="Epic",D255=""),"",IFERROR(INDEX(Lists!$A:$A,MATCH(D255,Lists!$B:$B,0)),""))</f>
        <v/>
      </c>
      <c r="F255" s="15" t="n"/>
      <c r="G255" s="15" t="n"/>
      <c r="H255" s="15" t="n"/>
      <c r="I255" s="15" t="n"/>
      <c r="J255" s="16" t="n"/>
      <c r="K255" s="16" t="n"/>
      <c r="L255" s="17">
        <f>IF(OR(C255="Epic",J255=""),"",MAX(0,J255-N(K255)))</f>
        <v/>
      </c>
      <c r="M255" s="18" t="n"/>
      <c r="N255" s="19">
        <f>IF(OR(L255="",M255=""),"",L255*M255)</f>
        <v/>
      </c>
      <c r="O255" s="15" t="n"/>
      <c r="P255" s="16" t="n"/>
      <c r="Q255" s="20" t="n"/>
      <c r="R255" s="21">
        <f>IF(OR(B255="",C255="Epic"),"",IF(Q255="",Settings!$B$3,Q255))</f>
        <v/>
      </c>
      <c r="S255" s="21">
        <f>IF(OR(R255="",P255="",N(L255)=0),"",R255-P255-Settings!$B$4)</f>
        <v/>
      </c>
      <c r="T255" s="17">
        <f>IF(S255="","",S255-TODAY())</f>
        <v/>
      </c>
      <c r="U255" s="14">
        <f>IF(OR(B255="",C255="Epic"),"",IF(N(L255)=0,IF(J255="","","ON HAND"),IF(OR(O255="Ordered",O255="Shipped",O255="Received"),O255,IF(S255="","NEED LEAD TIME",IF(T255&lt;0,"OVERDUE",IF(T255&lt;=Settings!$B$5,"ORDER SOON","OK"))))))</f>
        <v/>
      </c>
      <c r="V255" s="15" t="n"/>
    </row>
    <row r="256">
      <c r="A256" s="14">
        <f>IF(B256="","",IF(C256="Epic",IFERROR(INDEX(Lists!$A:$A,MATCH(B256,Lists!$B:$B,0)),"?"),1000+ROW()))</f>
        <v/>
      </c>
      <c r="B256" s="15" t="n"/>
      <c r="C256" s="15" t="n"/>
      <c r="D256" s="15" t="n"/>
      <c r="E256" s="14">
        <f>IF(OR(C256="Epic",D256=""),"",IFERROR(INDEX(Lists!$A:$A,MATCH(D256,Lists!$B:$B,0)),""))</f>
        <v/>
      </c>
      <c r="F256" s="15" t="n"/>
      <c r="G256" s="15" t="n"/>
      <c r="H256" s="15" t="n"/>
      <c r="I256" s="15" t="n"/>
      <c r="J256" s="16" t="n"/>
      <c r="K256" s="16" t="n"/>
      <c r="L256" s="17">
        <f>IF(OR(C256="Epic",J256=""),"",MAX(0,J256-N(K256)))</f>
        <v/>
      </c>
      <c r="M256" s="18" t="n"/>
      <c r="N256" s="19">
        <f>IF(OR(L256="",M256=""),"",L256*M256)</f>
        <v/>
      </c>
      <c r="O256" s="15" t="n"/>
      <c r="P256" s="16" t="n"/>
      <c r="Q256" s="20" t="n"/>
      <c r="R256" s="21">
        <f>IF(OR(B256="",C256="Epic"),"",IF(Q256="",Settings!$B$3,Q256))</f>
        <v/>
      </c>
      <c r="S256" s="21">
        <f>IF(OR(R256="",P256="",N(L256)=0),"",R256-P256-Settings!$B$4)</f>
        <v/>
      </c>
      <c r="T256" s="17">
        <f>IF(S256="","",S256-TODAY())</f>
        <v/>
      </c>
      <c r="U256" s="14">
        <f>IF(OR(B256="",C256="Epic"),"",IF(N(L256)=0,IF(J256="","","ON HAND"),IF(OR(O256="Ordered",O256="Shipped",O256="Received"),O256,IF(S256="","NEED LEAD TIME",IF(T256&lt;0,"OVERDUE",IF(T256&lt;=Settings!$B$5,"ORDER SOON","OK"))))))</f>
        <v/>
      </c>
      <c r="V256" s="15" t="n"/>
    </row>
    <row r="257">
      <c r="A257" s="14">
        <f>IF(B257="","",IF(C257="Epic",IFERROR(INDEX(Lists!$A:$A,MATCH(B257,Lists!$B:$B,0)),"?"),1000+ROW()))</f>
        <v/>
      </c>
      <c r="B257" s="15" t="n"/>
      <c r="C257" s="15" t="n"/>
      <c r="D257" s="15" t="n"/>
      <c r="E257" s="14">
        <f>IF(OR(C257="Epic",D257=""),"",IFERROR(INDEX(Lists!$A:$A,MATCH(D257,Lists!$B:$B,0)),""))</f>
        <v/>
      </c>
      <c r="F257" s="15" t="n"/>
      <c r="G257" s="15" t="n"/>
      <c r="H257" s="15" t="n"/>
      <c r="I257" s="15" t="n"/>
      <c r="J257" s="16" t="n"/>
      <c r="K257" s="16" t="n"/>
      <c r="L257" s="17">
        <f>IF(OR(C257="Epic",J257=""),"",MAX(0,J257-N(K257)))</f>
        <v/>
      </c>
      <c r="M257" s="18" t="n"/>
      <c r="N257" s="19">
        <f>IF(OR(L257="",M257=""),"",L257*M257)</f>
        <v/>
      </c>
      <c r="O257" s="15" t="n"/>
      <c r="P257" s="16" t="n"/>
      <c r="Q257" s="20" t="n"/>
      <c r="R257" s="21">
        <f>IF(OR(B257="",C257="Epic"),"",IF(Q257="",Settings!$B$3,Q257))</f>
        <v/>
      </c>
      <c r="S257" s="21">
        <f>IF(OR(R257="",P257="",N(L257)=0),"",R257-P257-Settings!$B$4)</f>
        <v/>
      </c>
      <c r="T257" s="17">
        <f>IF(S257="","",S257-TODAY())</f>
        <v/>
      </c>
      <c r="U257" s="14">
        <f>IF(OR(B257="",C257="Epic"),"",IF(N(L257)=0,IF(J257="","","ON HAND"),IF(OR(O257="Ordered",O257="Shipped",O257="Received"),O257,IF(S257="","NEED LEAD TIME",IF(T257&lt;0,"OVERDUE",IF(T257&lt;=Settings!$B$5,"ORDER SOON","OK"))))))</f>
        <v/>
      </c>
      <c r="V257" s="15" t="n"/>
    </row>
    <row r="258">
      <c r="A258" s="14">
        <f>IF(B258="","",IF(C258="Epic",IFERROR(INDEX(Lists!$A:$A,MATCH(B258,Lists!$B:$B,0)),"?"),1000+ROW()))</f>
        <v/>
      </c>
      <c r="B258" s="15" t="n"/>
      <c r="C258" s="15" t="n"/>
      <c r="D258" s="15" t="n"/>
      <c r="E258" s="14">
        <f>IF(OR(C258="Epic",D258=""),"",IFERROR(INDEX(Lists!$A:$A,MATCH(D258,Lists!$B:$B,0)),""))</f>
        <v/>
      </c>
      <c r="F258" s="15" t="n"/>
      <c r="G258" s="15" t="n"/>
      <c r="H258" s="15" t="n"/>
      <c r="I258" s="15" t="n"/>
      <c r="J258" s="16" t="n"/>
      <c r="K258" s="16" t="n"/>
      <c r="L258" s="17">
        <f>IF(OR(C258="Epic",J258=""),"",MAX(0,J258-N(K258)))</f>
        <v/>
      </c>
      <c r="M258" s="18" t="n"/>
      <c r="N258" s="19">
        <f>IF(OR(L258="",M258=""),"",L258*M258)</f>
        <v/>
      </c>
      <c r="O258" s="15" t="n"/>
      <c r="P258" s="16" t="n"/>
      <c r="Q258" s="20" t="n"/>
      <c r="R258" s="21">
        <f>IF(OR(B258="",C258="Epic"),"",IF(Q258="",Settings!$B$3,Q258))</f>
        <v/>
      </c>
      <c r="S258" s="21">
        <f>IF(OR(R258="",P258="",N(L258)=0),"",R258-P258-Settings!$B$4)</f>
        <v/>
      </c>
      <c r="T258" s="17">
        <f>IF(S258="","",S258-TODAY())</f>
        <v/>
      </c>
      <c r="U258" s="14">
        <f>IF(OR(B258="",C258="Epic"),"",IF(N(L258)=0,IF(J258="","","ON HAND"),IF(OR(O258="Ordered",O258="Shipped",O258="Received"),O258,IF(S258="","NEED LEAD TIME",IF(T258&lt;0,"OVERDUE",IF(T258&lt;=Settings!$B$5,"ORDER SOON","OK"))))))</f>
        <v/>
      </c>
      <c r="V258" s="15" t="n"/>
    </row>
    <row r="259">
      <c r="A259" s="14">
        <f>IF(B259="","",IF(C259="Epic",IFERROR(INDEX(Lists!$A:$A,MATCH(B259,Lists!$B:$B,0)),"?"),1000+ROW()))</f>
        <v/>
      </c>
      <c r="B259" s="15" t="n"/>
      <c r="C259" s="15" t="n"/>
      <c r="D259" s="15" t="n"/>
      <c r="E259" s="14">
        <f>IF(OR(C259="Epic",D259=""),"",IFERROR(INDEX(Lists!$A:$A,MATCH(D259,Lists!$B:$B,0)),""))</f>
        <v/>
      </c>
      <c r="F259" s="15" t="n"/>
      <c r="G259" s="15" t="n"/>
      <c r="H259" s="15" t="n"/>
      <c r="I259" s="15" t="n"/>
      <c r="J259" s="16" t="n"/>
      <c r="K259" s="16" t="n"/>
      <c r="L259" s="17">
        <f>IF(OR(C259="Epic",J259=""),"",MAX(0,J259-N(K259)))</f>
        <v/>
      </c>
      <c r="M259" s="18" t="n"/>
      <c r="N259" s="19">
        <f>IF(OR(L259="",M259=""),"",L259*M259)</f>
        <v/>
      </c>
      <c r="O259" s="15" t="n"/>
      <c r="P259" s="16" t="n"/>
      <c r="Q259" s="20" t="n"/>
      <c r="R259" s="21">
        <f>IF(OR(B259="",C259="Epic"),"",IF(Q259="",Settings!$B$3,Q259))</f>
        <v/>
      </c>
      <c r="S259" s="21">
        <f>IF(OR(R259="",P259="",N(L259)=0),"",R259-P259-Settings!$B$4)</f>
        <v/>
      </c>
      <c r="T259" s="17">
        <f>IF(S259="","",S259-TODAY())</f>
        <v/>
      </c>
      <c r="U259" s="14">
        <f>IF(OR(B259="",C259="Epic"),"",IF(N(L259)=0,IF(J259="","","ON HAND"),IF(OR(O259="Ordered",O259="Shipped",O259="Received"),O259,IF(S259="","NEED LEAD TIME",IF(T259&lt;0,"OVERDUE",IF(T259&lt;=Settings!$B$5,"ORDER SOON","OK"))))))</f>
        <v/>
      </c>
      <c r="V259" s="15" t="n"/>
    </row>
    <row r="260">
      <c r="A260" s="14">
        <f>IF(B260="","",IF(C260="Epic",IFERROR(INDEX(Lists!$A:$A,MATCH(B260,Lists!$B:$B,0)),"?"),1000+ROW()))</f>
        <v/>
      </c>
      <c r="B260" s="15" t="n"/>
      <c r="C260" s="15" t="n"/>
      <c r="D260" s="15" t="n"/>
      <c r="E260" s="14">
        <f>IF(OR(C260="Epic",D260=""),"",IFERROR(INDEX(Lists!$A:$A,MATCH(D260,Lists!$B:$B,0)),""))</f>
        <v/>
      </c>
      <c r="F260" s="15" t="n"/>
      <c r="G260" s="15" t="n"/>
      <c r="H260" s="15" t="n"/>
      <c r="I260" s="15" t="n"/>
      <c r="J260" s="16" t="n"/>
      <c r="K260" s="16" t="n"/>
      <c r="L260" s="17">
        <f>IF(OR(C260="Epic",J260=""),"",MAX(0,J260-N(K260)))</f>
        <v/>
      </c>
      <c r="M260" s="18" t="n"/>
      <c r="N260" s="19">
        <f>IF(OR(L260="",M260=""),"",L260*M260)</f>
        <v/>
      </c>
      <c r="O260" s="15" t="n"/>
      <c r="P260" s="16" t="n"/>
      <c r="Q260" s="20" t="n"/>
      <c r="R260" s="21">
        <f>IF(OR(B260="",C260="Epic"),"",IF(Q260="",Settings!$B$3,Q260))</f>
        <v/>
      </c>
      <c r="S260" s="21">
        <f>IF(OR(R260="",P260="",N(L260)=0),"",R260-P260-Settings!$B$4)</f>
        <v/>
      </c>
      <c r="T260" s="17">
        <f>IF(S260="","",S260-TODAY())</f>
        <v/>
      </c>
      <c r="U260" s="14">
        <f>IF(OR(B260="",C260="Epic"),"",IF(N(L260)=0,IF(J260="","","ON HAND"),IF(OR(O260="Ordered",O260="Shipped",O260="Received"),O260,IF(S260="","NEED LEAD TIME",IF(T260&lt;0,"OVERDUE",IF(T260&lt;=Settings!$B$5,"ORDER SOON","OK"))))))</f>
        <v/>
      </c>
      <c r="V260" s="15" t="n"/>
    </row>
    <row r="261">
      <c r="A261" s="14">
        <f>IF(B261="","",IF(C261="Epic",IFERROR(INDEX(Lists!$A:$A,MATCH(B261,Lists!$B:$B,0)),"?"),1000+ROW()))</f>
        <v/>
      </c>
      <c r="B261" s="15" t="n"/>
      <c r="C261" s="15" t="n"/>
      <c r="D261" s="15" t="n"/>
      <c r="E261" s="14">
        <f>IF(OR(C261="Epic",D261=""),"",IFERROR(INDEX(Lists!$A:$A,MATCH(D261,Lists!$B:$B,0)),""))</f>
        <v/>
      </c>
      <c r="F261" s="15" t="n"/>
      <c r="G261" s="15" t="n"/>
      <c r="H261" s="15" t="n"/>
      <c r="I261" s="15" t="n"/>
      <c r="J261" s="16" t="n"/>
      <c r="K261" s="16" t="n"/>
      <c r="L261" s="17">
        <f>IF(OR(C261="Epic",J261=""),"",MAX(0,J261-N(K261)))</f>
        <v/>
      </c>
      <c r="M261" s="18" t="n"/>
      <c r="N261" s="19">
        <f>IF(OR(L261="",M261=""),"",L261*M261)</f>
        <v/>
      </c>
      <c r="O261" s="15" t="n"/>
      <c r="P261" s="16" t="n"/>
      <c r="Q261" s="20" t="n"/>
      <c r="R261" s="21">
        <f>IF(OR(B261="",C261="Epic"),"",IF(Q261="",Settings!$B$3,Q261))</f>
        <v/>
      </c>
      <c r="S261" s="21">
        <f>IF(OR(R261="",P261="",N(L261)=0),"",R261-P261-Settings!$B$4)</f>
        <v/>
      </c>
      <c r="T261" s="17">
        <f>IF(S261="","",S261-TODAY())</f>
        <v/>
      </c>
      <c r="U261" s="14">
        <f>IF(OR(B261="",C261="Epic"),"",IF(N(L261)=0,IF(J261="","","ON HAND"),IF(OR(O261="Ordered",O261="Shipped",O261="Received"),O261,IF(S261="","NEED LEAD TIME",IF(T261&lt;0,"OVERDUE",IF(T261&lt;=Settings!$B$5,"ORDER SOON","OK"))))))</f>
        <v/>
      </c>
      <c r="V261" s="15" t="n"/>
    </row>
    <row r="262">
      <c r="A262" s="14">
        <f>IF(B262="","",IF(C262="Epic",IFERROR(INDEX(Lists!$A:$A,MATCH(B262,Lists!$B:$B,0)),"?"),1000+ROW()))</f>
        <v/>
      </c>
      <c r="B262" s="15" t="n"/>
      <c r="C262" s="15" t="n"/>
      <c r="D262" s="15" t="n"/>
      <c r="E262" s="14">
        <f>IF(OR(C262="Epic",D262=""),"",IFERROR(INDEX(Lists!$A:$A,MATCH(D262,Lists!$B:$B,0)),""))</f>
        <v/>
      </c>
      <c r="F262" s="15" t="n"/>
      <c r="G262" s="15" t="n"/>
      <c r="H262" s="15" t="n"/>
      <c r="I262" s="15" t="n"/>
      <c r="J262" s="16" t="n"/>
      <c r="K262" s="16" t="n"/>
      <c r="L262" s="17">
        <f>IF(OR(C262="Epic",J262=""),"",MAX(0,J262-N(K262)))</f>
        <v/>
      </c>
      <c r="M262" s="18" t="n"/>
      <c r="N262" s="19">
        <f>IF(OR(L262="",M262=""),"",L262*M262)</f>
        <v/>
      </c>
      <c r="O262" s="15" t="n"/>
      <c r="P262" s="16" t="n"/>
      <c r="Q262" s="20" t="n"/>
      <c r="R262" s="21">
        <f>IF(OR(B262="",C262="Epic"),"",IF(Q262="",Settings!$B$3,Q262))</f>
        <v/>
      </c>
      <c r="S262" s="21">
        <f>IF(OR(R262="",P262="",N(L262)=0),"",R262-P262-Settings!$B$4)</f>
        <v/>
      </c>
      <c r="T262" s="17">
        <f>IF(S262="","",S262-TODAY())</f>
        <v/>
      </c>
      <c r="U262" s="14">
        <f>IF(OR(B262="",C262="Epic"),"",IF(N(L262)=0,IF(J262="","","ON HAND"),IF(OR(O262="Ordered",O262="Shipped",O262="Received"),O262,IF(S262="","NEED LEAD TIME",IF(T262&lt;0,"OVERDUE",IF(T262&lt;=Settings!$B$5,"ORDER SOON","OK"))))))</f>
        <v/>
      </c>
      <c r="V262" s="15" t="n"/>
    </row>
    <row r="263">
      <c r="A263" s="14">
        <f>IF(B263="","",IF(C263="Epic",IFERROR(INDEX(Lists!$A:$A,MATCH(B263,Lists!$B:$B,0)),"?"),1000+ROW()))</f>
        <v/>
      </c>
      <c r="B263" s="15" t="n"/>
      <c r="C263" s="15" t="n"/>
      <c r="D263" s="15" t="n"/>
      <c r="E263" s="14">
        <f>IF(OR(C263="Epic",D263=""),"",IFERROR(INDEX(Lists!$A:$A,MATCH(D263,Lists!$B:$B,0)),""))</f>
        <v/>
      </c>
      <c r="F263" s="15" t="n"/>
      <c r="G263" s="15" t="n"/>
      <c r="H263" s="15" t="n"/>
      <c r="I263" s="15" t="n"/>
      <c r="J263" s="16" t="n"/>
      <c r="K263" s="16" t="n"/>
      <c r="L263" s="17">
        <f>IF(OR(C263="Epic",J263=""),"",MAX(0,J263-N(K263)))</f>
        <v/>
      </c>
      <c r="M263" s="18" t="n"/>
      <c r="N263" s="19">
        <f>IF(OR(L263="",M263=""),"",L263*M263)</f>
        <v/>
      </c>
      <c r="O263" s="15" t="n"/>
      <c r="P263" s="16" t="n"/>
      <c r="Q263" s="20" t="n"/>
      <c r="R263" s="21">
        <f>IF(OR(B263="",C263="Epic"),"",IF(Q263="",Settings!$B$3,Q263))</f>
        <v/>
      </c>
      <c r="S263" s="21">
        <f>IF(OR(R263="",P263="",N(L263)=0),"",R263-P263-Settings!$B$4)</f>
        <v/>
      </c>
      <c r="T263" s="17">
        <f>IF(S263="","",S263-TODAY())</f>
        <v/>
      </c>
      <c r="U263" s="14">
        <f>IF(OR(B263="",C263="Epic"),"",IF(N(L263)=0,IF(J263="","","ON HAND"),IF(OR(O263="Ordered",O263="Shipped",O263="Received"),O263,IF(S263="","NEED LEAD TIME",IF(T263&lt;0,"OVERDUE",IF(T263&lt;=Settings!$B$5,"ORDER SOON","OK"))))))</f>
        <v/>
      </c>
      <c r="V263" s="15" t="n"/>
    </row>
    <row r="264">
      <c r="A264" s="14">
        <f>IF(B264="","",IF(C264="Epic",IFERROR(INDEX(Lists!$A:$A,MATCH(B264,Lists!$B:$B,0)),"?"),1000+ROW()))</f>
        <v/>
      </c>
      <c r="B264" s="15" t="n"/>
      <c r="C264" s="15" t="n"/>
      <c r="D264" s="15" t="n"/>
      <c r="E264" s="14">
        <f>IF(OR(C264="Epic",D264=""),"",IFERROR(INDEX(Lists!$A:$A,MATCH(D264,Lists!$B:$B,0)),""))</f>
        <v/>
      </c>
      <c r="F264" s="15" t="n"/>
      <c r="G264" s="15" t="n"/>
      <c r="H264" s="15" t="n"/>
      <c r="I264" s="15" t="n"/>
      <c r="J264" s="16" t="n"/>
      <c r="K264" s="16" t="n"/>
      <c r="L264" s="17">
        <f>IF(OR(C264="Epic",J264=""),"",MAX(0,J264-N(K264)))</f>
        <v/>
      </c>
      <c r="M264" s="18" t="n"/>
      <c r="N264" s="19">
        <f>IF(OR(L264="",M264=""),"",L264*M264)</f>
        <v/>
      </c>
      <c r="O264" s="15" t="n"/>
      <c r="P264" s="16" t="n"/>
      <c r="Q264" s="20" t="n"/>
      <c r="R264" s="21">
        <f>IF(OR(B264="",C264="Epic"),"",IF(Q264="",Settings!$B$3,Q264))</f>
        <v/>
      </c>
      <c r="S264" s="21">
        <f>IF(OR(R264="",P264="",N(L264)=0),"",R264-P264-Settings!$B$4)</f>
        <v/>
      </c>
      <c r="T264" s="17">
        <f>IF(S264="","",S264-TODAY())</f>
        <v/>
      </c>
      <c r="U264" s="14">
        <f>IF(OR(B264="",C264="Epic"),"",IF(N(L264)=0,IF(J264="","","ON HAND"),IF(OR(O264="Ordered",O264="Shipped",O264="Received"),O264,IF(S264="","NEED LEAD TIME",IF(T264&lt;0,"OVERDUE",IF(T264&lt;=Settings!$B$5,"ORDER SOON","OK"))))))</f>
        <v/>
      </c>
      <c r="V264" s="15" t="n"/>
    </row>
    <row r="265">
      <c r="A265" s="14">
        <f>IF(B265="","",IF(C265="Epic",IFERROR(INDEX(Lists!$A:$A,MATCH(B265,Lists!$B:$B,0)),"?"),1000+ROW()))</f>
        <v/>
      </c>
      <c r="B265" s="15" t="n"/>
      <c r="C265" s="15" t="n"/>
      <c r="D265" s="15" t="n"/>
      <c r="E265" s="14">
        <f>IF(OR(C265="Epic",D265=""),"",IFERROR(INDEX(Lists!$A:$A,MATCH(D265,Lists!$B:$B,0)),""))</f>
        <v/>
      </c>
      <c r="F265" s="15" t="n"/>
      <c r="G265" s="15" t="n"/>
      <c r="H265" s="15" t="n"/>
      <c r="I265" s="15" t="n"/>
      <c r="J265" s="16" t="n"/>
      <c r="K265" s="16" t="n"/>
      <c r="L265" s="17">
        <f>IF(OR(C265="Epic",J265=""),"",MAX(0,J265-N(K265)))</f>
        <v/>
      </c>
      <c r="M265" s="18" t="n"/>
      <c r="N265" s="19">
        <f>IF(OR(L265="",M265=""),"",L265*M265)</f>
        <v/>
      </c>
      <c r="O265" s="15" t="n"/>
      <c r="P265" s="16" t="n"/>
      <c r="Q265" s="20" t="n"/>
      <c r="R265" s="21">
        <f>IF(OR(B265="",C265="Epic"),"",IF(Q265="",Settings!$B$3,Q265))</f>
        <v/>
      </c>
      <c r="S265" s="21">
        <f>IF(OR(R265="",P265="",N(L265)=0),"",R265-P265-Settings!$B$4)</f>
        <v/>
      </c>
      <c r="T265" s="17">
        <f>IF(S265="","",S265-TODAY())</f>
        <v/>
      </c>
      <c r="U265" s="14">
        <f>IF(OR(B265="",C265="Epic"),"",IF(N(L265)=0,IF(J265="","","ON HAND"),IF(OR(O265="Ordered",O265="Shipped",O265="Received"),O265,IF(S265="","NEED LEAD TIME",IF(T265&lt;0,"OVERDUE",IF(T265&lt;=Settings!$B$5,"ORDER SOON","OK"))))))</f>
        <v/>
      </c>
      <c r="V265" s="15" t="n"/>
    </row>
    <row r="266">
      <c r="A266" s="14">
        <f>IF(B266="","",IF(C266="Epic",IFERROR(INDEX(Lists!$A:$A,MATCH(B266,Lists!$B:$B,0)),"?"),1000+ROW()))</f>
        <v/>
      </c>
      <c r="B266" s="15" t="n"/>
      <c r="C266" s="15" t="n"/>
      <c r="D266" s="15" t="n"/>
      <c r="E266" s="14">
        <f>IF(OR(C266="Epic",D266=""),"",IFERROR(INDEX(Lists!$A:$A,MATCH(D266,Lists!$B:$B,0)),""))</f>
        <v/>
      </c>
      <c r="F266" s="15" t="n"/>
      <c r="G266" s="15" t="n"/>
      <c r="H266" s="15" t="n"/>
      <c r="I266" s="15" t="n"/>
      <c r="J266" s="16" t="n"/>
      <c r="K266" s="16" t="n"/>
      <c r="L266" s="17">
        <f>IF(OR(C266="Epic",J266=""),"",MAX(0,J266-N(K266)))</f>
        <v/>
      </c>
      <c r="M266" s="18" t="n"/>
      <c r="N266" s="19">
        <f>IF(OR(L266="",M266=""),"",L266*M266)</f>
        <v/>
      </c>
      <c r="O266" s="15" t="n"/>
      <c r="P266" s="16" t="n"/>
      <c r="Q266" s="20" t="n"/>
      <c r="R266" s="21">
        <f>IF(OR(B266="",C266="Epic"),"",IF(Q266="",Settings!$B$3,Q266))</f>
        <v/>
      </c>
      <c r="S266" s="21">
        <f>IF(OR(R266="",P266="",N(L266)=0),"",R266-P266-Settings!$B$4)</f>
        <v/>
      </c>
      <c r="T266" s="17">
        <f>IF(S266="","",S266-TODAY())</f>
        <v/>
      </c>
      <c r="U266" s="14">
        <f>IF(OR(B266="",C266="Epic"),"",IF(N(L266)=0,IF(J266="","","ON HAND"),IF(OR(O266="Ordered",O266="Shipped",O266="Received"),O266,IF(S266="","NEED LEAD TIME",IF(T266&lt;0,"OVERDUE",IF(T266&lt;=Settings!$B$5,"ORDER SOON","OK"))))))</f>
        <v/>
      </c>
      <c r="V266" s="15" t="n"/>
    </row>
    <row r="267">
      <c r="A267" s="14">
        <f>IF(B267="","",IF(C267="Epic",IFERROR(INDEX(Lists!$A:$A,MATCH(B267,Lists!$B:$B,0)),"?"),1000+ROW()))</f>
        <v/>
      </c>
      <c r="B267" s="15" t="n"/>
      <c r="C267" s="15" t="n"/>
      <c r="D267" s="15" t="n"/>
      <c r="E267" s="14">
        <f>IF(OR(C267="Epic",D267=""),"",IFERROR(INDEX(Lists!$A:$A,MATCH(D267,Lists!$B:$B,0)),""))</f>
        <v/>
      </c>
      <c r="F267" s="15" t="n"/>
      <c r="G267" s="15" t="n"/>
      <c r="H267" s="15" t="n"/>
      <c r="I267" s="15" t="n"/>
      <c r="J267" s="16" t="n"/>
      <c r="K267" s="16" t="n"/>
      <c r="L267" s="17">
        <f>IF(OR(C267="Epic",J267=""),"",MAX(0,J267-N(K267)))</f>
        <v/>
      </c>
      <c r="M267" s="18" t="n"/>
      <c r="N267" s="19">
        <f>IF(OR(L267="",M267=""),"",L267*M267)</f>
        <v/>
      </c>
      <c r="O267" s="15" t="n"/>
      <c r="P267" s="16" t="n"/>
      <c r="Q267" s="20" t="n"/>
      <c r="R267" s="21">
        <f>IF(OR(B267="",C267="Epic"),"",IF(Q267="",Settings!$B$3,Q267))</f>
        <v/>
      </c>
      <c r="S267" s="21">
        <f>IF(OR(R267="",P267="",N(L267)=0),"",R267-P267-Settings!$B$4)</f>
        <v/>
      </c>
      <c r="T267" s="17">
        <f>IF(S267="","",S267-TODAY())</f>
        <v/>
      </c>
      <c r="U267" s="14">
        <f>IF(OR(B267="",C267="Epic"),"",IF(N(L267)=0,IF(J267="","","ON HAND"),IF(OR(O267="Ordered",O267="Shipped",O267="Received"),O267,IF(S267="","NEED LEAD TIME",IF(T267&lt;0,"OVERDUE",IF(T267&lt;=Settings!$B$5,"ORDER SOON","OK"))))))</f>
        <v/>
      </c>
      <c r="V267" s="15" t="n"/>
    </row>
    <row r="268">
      <c r="A268" s="14">
        <f>IF(B268="","",IF(C268="Epic",IFERROR(INDEX(Lists!$A:$A,MATCH(B268,Lists!$B:$B,0)),"?"),1000+ROW()))</f>
        <v/>
      </c>
      <c r="B268" s="15" t="n"/>
      <c r="C268" s="15" t="n"/>
      <c r="D268" s="15" t="n"/>
      <c r="E268" s="14">
        <f>IF(OR(C268="Epic",D268=""),"",IFERROR(INDEX(Lists!$A:$A,MATCH(D268,Lists!$B:$B,0)),""))</f>
        <v/>
      </c>
      <c r="F268" s="15" t="n"/>
      <c r="G268" s="15" t="n"/>
      <c r="H268" s="15" t="n"/>
      <c r="I268" s="15" t="n"/>
      <c r="J268" s="16" t="n"/>
      <c r="K268" s="16" t="n"/>
      <c r="L268" s="17">
        <f>IF(OR(C268="Epic",J268=""),"",MAX(0,J268-N(K268)))</f>
        <v/>
      </c>
      <c r="M268" s="18" t="n"/>
      <c r="N268" s="19">
        <f>IF(OR(L268="",M268=""),"",L268*M268)</f>
        <v/>
      </c>
      <c r="O268" s="15" t="n"/>
      <c r="P268" s="16" t="n"/>
      <c r="Q268" s="20" t="n"/>
      <c r="R268" s="21">
        <f>IF(OR(B268="",C268="Epic"),"",IF(Q268="",Settings!$B$3,Q268))</f>
        <v/>
      </c>
      <c r="S268" s="21">
        <f>IF(OR(R268="",P268="",N(L268)=0),"",R268-P268-Settings!$B$4)</f>
        <v/>
      </c>
      <c r="T268" s="17">
        <f>IF(S268="","",S268-TODAY())</f>
        <v/>
      </c>
      <c r="U268" s="14">
        <f>IF(OR(B268="",C268="Epic"),"",IF(N(L268)=0,IF(J268="","","ON HAND"),IF(OR(O268="Ordered",O268="Shipped",O268="Received"),O268,IF(S268="","NEED LEAD TIME",IF(T268&lt;0,"OVERDUE",IF(T268&lt;=Settings!$B$5,"ORDER SOON","OK"))))))</f>
        <v/>
      </c>
      <c r="V268" s="15" t="n"/>
    </row>
    <row r="269">
      <c r="A269" s="14">
        <f>IF(B269="","",IF(C269="Epic",IFERROR(INDEX(Lists!$A:$A,MATCH(B269,Lists!$B:$B,0)),"?"),1000+ROW()))</f>
        <v/>
      </c>
      <c r="B269" s="15" t="n"/>
      <c r="C269" s="15" t="n"/>
      <c r="D269" s="15" t="n"/>
      <c r="E269" s="14">
        <f>IF(OR(C269="Epic",D269=""),"",IFERROR(INDEX(Lists!$A:$A,MATCH(D269,Lists!$B:$B,0)),""))</f>
        <v/>
      </c>
      <c r="F269" s="15" t="n"/>
      <c r="G269" s="15" t="n"/>
      <c r="H269" s="15" t="n"/>
      <c r="I269" s="15" t="n"/>
      <c r="J269" s="16" t="n"/>
      <c r="K269" s="16" t="n"/>
      <c r="L269" s="17">
        <f>IF(OR(C269="Epic",J269=""),"",MAX(0,J269-N(K269)))</f>
        <v/>
      </c>
      <c r="M269" s="18" t="n"/>
      <c r="N269" s="19">
        <f>IF(OR(L269="",M269=""),"",L269*M269)</f>
        <v/>
      </c>
      <c r="O269" s="15" t="n"/>
      <c r="P269" s="16" t="n"/>
      <c r="Q269" s="20" t="n"/>
      <c r="R269" s="21">
        <f>IF(OR(B269="",C269="Epic"),"",IF(Q269="",Settings!$B$3,Q269))</f>
        <v/>
      </c>
      <c r="S269" s="21">
        <f>IF(OR(R269="",P269="",N(L269)=0),"",R269-P269-Settings!$B$4)</f>
        <v/>
      </c>
      <c r="T269" s="17">
        <f>IF(S269="","",S269-TODAY())</f>
        <v/>
      </c>
      <c r="U269" s="14">
        <f>IF(OR(B269="",C269="Epic"),"",IF(N(L269)=0,IF(J269="","","ON HAND"),IF(OR(O269="Ordered",O269="Shipped",O269="Received"),O269,IF(S269="","NEED LEAD TIME",IF(T269&lt;0,"OVERDUE",IF(T269&lt;=Settings!$B$5,"ORDER SOON","OK"))))))</f>
        <v/>
      </c>
      <c r="V269" s="15" t="n"/>
    </row>
    <row r="270">
      <c r="A270" s="14">
        <f>IF(B270="","",IF(C270="Epic",IFERROR(INDEX(Lists!$A:$A,MATCH(B270,Lists!$B:$B,0)),"?"),1000+ROW()))</f>
        <v/>
      </c>
      <c r="B270" s="15" t="n"/>
      <c r="C270" s="15" t="n"/>
      <c r="D270" s="15" t="n"/>
      <c r="E270" s="14">
        <f>IF(OR(C270="Epic",D270=""),"",IFERROR(INDEX(Lists!$A:$A,MATCH(D270,Lists!$B:$B,0)),""))</f>
        <v/>
      </c>
      <c r="F270" s="15" t="n"/>
      <c r="G270" s="15" t="n"/>
      <c r="H270" s="15" t="n"/>
      <c r="I270" s="15" t="n"/>
      <c r="J270" s="16" t="n"/>
      <c r="K270" s="16" t="n"/>
      <c r="L270" s="17">
        <f>IF(OR(C270="Epic",J270=""),"",MAX(0,J270-N(K270)))</f>
        <v/>
      </c>
      <c r="M270" s="18" t="n"/>
      <c r="N270" s="19">
        <f>IF(OR(L270="",M270=""),"",L270*M270)</f>
        <v/>
      </c>
      <c r="O270" s="15" t="n"/>
      <c r="P270" s="16" t="n"/>
      <c r="Q270" s="20" t="n"/>
      <c r="R270" s="21">
        <f>IF(OR(B270="",C270="Epic"),"",IF(Q270="",Settings!$B$3,Q270))</f>
        <v/>
      </c>
      <c r="S270" s="21">
        <f>IF(OR(R270="",P270="",N(L270)=0),"",R270-P270-Settings!$B$4)</f>
        <v/>
      </c>
      <c r="T270" s="17">
        <f>IF(S270="","",S270-TODAY())</f>
        <v/>
      </c>
      <c r="U270" s="14">
        <f>IF(OR(B270="",C270="Epic"),"",IF(N(L270)=0,IF(J270="","","ON HAND"),IF(OR(O270="Ordered",O270="Shipped",O270="Received"),O270,IF(S270="","NEED LEAD TIME",IF(T270&lt;0,"OVERDUE",IF(T270&lt;=Settings!$B$5,"ORDER SOON","OK"))))))</f>
        <v/>
      </c>
      <c r="V270" s="15" t="n"/>
    </row>
    <row r="271">
      <c r="A271" s="14">
        <f>IF(B271="","",IF(C271="Epic",IFERROR(INDEX(Lists!$A:$A,MATCH(B271,Lists!$B:$B,0)),"?"),1000+ROW()))</f>
        <v/>
      </c>
      <c r="B271" s="15" t="n"/>
      <c r="C271" s="15" t="n"/>
      <c r="D271" s="15" t="n"/>
      <c r="E271" s="14">
        <f>IF(OR(C271="Epic",D271=""),"",IFERROR(INDEX(Lists!$A:$A,MATCH(D271,Lists!$B:$B,0)),""))</f>
        <v/>
      </c>
      <c r="F271" s="15" t="n"/>
      <c r="G271" s="15" t="n"/>
      <c r="H271" s="15" t="n"/>
      <c r="I271" s="15" t="n"/>
      <c r="J271" s="16" t="n"/>
      <c r="K271" s="16" t="n"/>
      <c r="L271" s="17">
        <f>IF(OR(C271="Epic",J271=""),"",MAX(0,J271-N(K271)))</f>
        <v/>
      </c>
      <c r="M271" s="18" t="n"/>
      <c r="N271" s="19">
        <f>IF(OR(L271="",M271=""),"",L271*M271)</f>
        <v/>
      </c>
      <c r="O271" s="15" t="n"/>
      <c r="P271" s="16" t="n"/>
      <c r="Q271" s="20" t="n"/>
      <c r="R271" s="21">
        <f>IF(OR(B271="",C271="Epic"),"",IF(Q271="",Settings!$B$3,Q271))</f>
        <v/>
      </c>
      <c r="S271" s="21">
        <f>IF(OR(R271="",P271="",N(L271)=0),"",R271-P271-Settings!$B$4)</f>
        <v/>
      </c>
      <c r="T271" s="17">
        <f>IF(S271="","",S271-TODAY())</f>
        <v/>
      </c>
      <c r="U271" s="14">
        <f>IF(OR(B271="",C271="Epic"),"",IF(N(L271)=0,IF(J271="","","ON HAND"),IF(OR(O271="Ordered",O271="Shipped",O271="Received"),O271,IF(S271="","NEED LEAD TIME",IF(T271&lt;0,"OVERDUE",IF(T271&lt;=Settings!$B$5,"ORDER SOON","OK"))))))</f>
        <v/>
      </c>
      <c r="V271" s="15" t="n"/>
    </row>
    <row r="272">
      <c r="A272" s="14">
        <f>IF(B272="","",IF(C272="Epic",IFERROR(INDEX(Lists!$A:$A,MATCH(B272,Lists!$B:$B,0)),"?"),1000+ROW()))</f>
        <v/>
      </c>
      <c r="B272" s="15" t="n"/>
      <c r="C272" s="15" t="n"/>
      <c r="D272" s="15" t="n"/>
      <c r="E272" s="14">
        <f>IF(OR(C272="Epic",D272=""),"",IFERROR(INDEX(Lists!$A:$A,MATCH(D272,Lists!$B:$B,0)),""))</f>
        <v/>
      </c>
      <c r="F272" s="15" t="n"/>
      <c r="G272" s="15" t="n"/>
      <c r="H272" s="15" t="n"/>
      <c r="I272" s="15" t="n"/>
      <c r="J272" s="16" t="n"/>
      <c r="K272" s="16" t="n"/>
      <c r="L272" s="17">
        <f>IF(OR(C272="Epic",J272=""),"",MAX(0,J272-N(K272)))</f>
        <v/>
      </c>
      <c r="M272" s="18" t="n"/>
      <c r="N272" s="19">
        <f>IF(OR(L272="",M272=""),"",L272*M272)</f>
        <v/>
      </c>
      <c r="O272" s="15" t="n"/>
      <c r="P272" s="16" t="n"/>
      <c r="Q272" s="20" t="n"/>
      <c r="R272" s="21">
        <f>IF(OR(B272="",C272="Epic"),"",IF(Q272="",Settings!$B$3,Q272))</f>
        <v/>
      </c>
      <c r="S272" s="21">
        <f>IF(OR(R272="",P272="",N(L272)=0),"",R272-P272-Settings!$B$4)</f>
        <v/>
      </c>
      <c r="T272" s="17">
        <f>IF(S272="","",S272-TODAY())</f>
        <v/>
      </c>
      <c r="U272" s="14">
        <f>IF(OR(B272="",C272="Epic"),"",IF(N(L272)=0,IF(J272="","","ON HAND"),IF(OR(O272="Ordered",O272="Shipped",O272="Received"),O272,IF(S272="","NEED LEAD TIME",IF(T272&lt;0,"OVERDUE",IF(T272&lt;=Settings!$B$5,"ORDER SOON","OK"))))))</f>
        <v/>
      </c>
      <c r="V272" s="15" t="n"/>
    </row>
    <row r="273">
      <c r="A273" s="14">
        <f>IF(B273="","",IF(C273="Epic",IFERROR(INDEX(Lists!$A:$A,MATCH(B273,Lists!$B:$B,0)),"?"),1000+ROW()))</f>
        <v/>
      </c>
      <c r="B273" s="15" t="n"/>
      <c r="C273" s="15" t="n"/>
      <c r="D273" s="15" t="n"/>
      <c r="E273" s="14">
        <f>IF(OR(C273="Epic",D273=""),"",IFERROR(INDEX(Lists!$A:$A,MATCH(D273,Lists!$B:$B,0)),""))</f>
        <v/>
      </c>
      <c r="F273" s="15" t="n"/>
      <c r="G273" s="15" t="n"/>
      <c r="H273" s="15" t="n"/>
      <c r="I273" s="15" t="n"/>
      <c r="J273" s="16" t="n"/>
      <c r="K273" s="16" t="n"/>
      <c r="L273" s="17">
        <f>IF(OR(C273="Epic",J273=""),"",MAX(0,J273-N(K273)))</f>
        <v/>
      </c>
      <c r="M273" s="18" t="n"/>
      <c r="N273" s="19">
        <f>IF(OR(L273="",M273=""),"",L273*M273)</f>
        <v/>
      </c>
      <c r="O273" s="15" t="n"/>
      <c r="P273" s="16" t="n"/>
      <c r="Q273" s="20" t="n"/>
      <c r="R273" s="21">
        <f>IF(OR(B273="",C273="Epic"),"",IF(Q273="",Settings!$B$3,Q273))</f>
        <v/>
      </c>
      <c r="S273" s="21">
        <f>IF(OR(R273="",P273="",N(L273)=0),"",R273-P273-Settings!$B$4)</f>
        <v/>
      </c>
      <c r="T273" s="17">
        <f>IF(S273="","",S273-TODAY())</f>
        <v/>
      </c>
      <c r="U273" s="14">
        <f>IF(OR(B273="",C273="Epic"),"",IF(N(L273)=0,IF(J273="","","ON HAND"),IF(OR(O273="Ordered",O273="Shipped",O273="Received"),O273,IF(S273="","NEED LEAD TIME",IF(T273&lt;0,"OVERDUE",IF(T273&lt;=Settings!$B$5,"ORDER SOON","OK"))))))</f>
        <v/>
      </c>
      <c r="V273" s="15" t="n"/>
    </row>
    <row r="274">
      <c r="A274" s="14">
        <f>IF(B274="","",IF(C274="Epic",IFERROR(INDEX(Lists!$A:$A,MATCH(B274,Lists!$B:$B,0)),"?"),1000+ROW()))</f>
        <v/>
      </c>
      <c r="B274" s="15" t="n"/>
      <c r="C274" s="15" t="n"/>
      <c r="D274" s="15" t="n"/>
      <c r="E274" s="14">
        <f>IF(OR(C274="Epic",D274=""),"",IFERROR(INDEX(Lists!$A:$A,MATCH(D274,Lists!$B:$B,0)),""))</f>
        <v/>
      </c>
      <c r="F274" s="15" t="n"/>
      <c r="G274" s="15" t="n"/>
      <c r="H274" s="15" t="n"/>
      <c r="I274" s="15" t="n"/>
      <c r="J274" s="16" t="n"/>
      <c r="K274" s="16" t="n"/>
      <c r="L274" s="17">
        <f>IF(OR(C274="Epic",J274=""),"",MAX(0,J274-N(K274)))</f>
        <v/>
      </c>
      <c r="M274" s="18" t="n"/>
      <c r="N274" s="19">
        <f>IF(OR(L274="",M274=""),"",L274*M274)</f>
        <v/>
      </c>
      <c r="O274" s="15" t="n"/>
      <c r="P274" s="16" t="n"/>
      <c r="Q274" s="20" t="n"/>
      <c r="R274" s="21">
        <f>IF(OR(B274="",C274="Epic"),"",IF(Q274="",Settings!$B$3,Q274))</f>
        <v/>
      </c>
      <c r="S274" s="21">
        <f>IF(OR(R274="",P274="",N(L274)=0),"",R274-P274-Settings!$B$4)</f>
        <v/>
      </c>
      <c r="T274" s="17">
        <f>IF(S274="","",S274-TODAY())</f>
        <v/>
      </c>
      <c r="U274" s="14">
        <f>IF(OR(B274="",C274="Epic"),"",IF(N(L274)=0,IF(J274="","","ON HAND"),IF(OR(O274="Ordered",O274="Shipped",O274="Received"),O274,IF(S274="","NEED LEAD TIME",IF(T274&lt;0,"OVERDUE",IF(T274&lt;=Settings!$B$5,"ORDER SOON","OK"))))))</f>
        <v/>
      </c>
      <c r="V274" s="15" t="n"/>
    </row>
    <row r="275">
      <c r="A275" s="14">
        <f>IF(B275="","",IF(C275="Epic",IFERROR(INDEX(Lists!$A:$A,MATCH(B275,Lists!$B:$B,0)),"?"),1000+ROW()))</f>
        <v/>
      </c>
      <c r="B275" s="15" t="n"/>
      <c r="C275" s="15" t="n"/>
      <c r="D275" s="15" t="n"/>
      <c r="E275" s="14">
        <f>IF(OR(C275="Epic",D275=""),"",IFERROR(INDEX(Lists!$A:$A,MATCH(D275,Lists!$B:$B,0)),""))</f>
        <v/>
      </c>
      <c r="F275" s="15" t="n"/>
      <c r="G275" s="15" t="n"/>
      <c r="H275" s="15" t="n"/>
      <c r="I275" s="15" t="n"/>
      <c r="J275" s="16" t="n"/>
      <c r="K275" s="16" t="n"/>
      <c r="L275" s="17">
        <f>IF(OR(C275="Epic",J275=""),"",MAX(0,J275-N(K275)))</f>
        <v/>
      </c>
      <c r="M275" s="18" t="n"/>
      <c r="N275" s="19">
        <f>IF(OR(L275="",M275=""),"",L275*M275)</f>
        <v/>
      </c>
      <c r="O275" s="15" t="n"/>
      <c r="P275" s="16" t="n"/>
      <c r="Q275" s="20" t="n"/>
      <c r="R275" s="21">
        <f>IF(OR(B275="",C275="Epic"),"",IF(Q275="",Settings!$B$3,Q275))</f>
        <v/>
      </c>
      <c r="S275" s="21">
        <f>IF(OR(R275="",P275="",N(L275)=0),"",R275-P275-Settings!$B$4)</f>
        <v/>
      </c>
      <c r="T275" s="17">
        <f>IF(S275="","",S275-TODAY())</f>
        <v/>
      </c>
      <c r="U275" s="14">
        <f>IF(OR(B275="",C275="Epic"),"",IF(N(L275)=0,IF(J275="","","ON HAND"),IF(OR(O275="Ordered",O275="Shipped",O275="Received"),O275,IF(S275="","NEED LEAD TIME",IF(T275&lt;0,"OVERDUE",IF(T275&lt;=Settings!$B$5,"ORDER SOON","OK"))))))</f>
        <v/>
      </c>
      <c r="V275" s="15" t="n"/>
    </row>
    <row r="276">
      <c r="A276" s="14">
        <f>IF(B276="","",IF(C276="Epic",IFERROR(INDEX(Lists!$A:$A,MATCH(B276,Lists!$B:$B,0)),"?"),1000+ROW()))</f>
        <v/>
      </c>
      <c r="B276" s="15" t="n"/>
      <c r="C276" s="15" t="n"/>
      <c r="D276" s="15" t="n"/>
      <c r="E276" s="14">
        <f>IF(OR(C276="Epic",D276=""),"",IFERROR(INDEX(Lists!$A:$A,MATCH(D276,Lists!$B:$B,0)),""))</f>
        <v/>
      </c>
      <c r="F276" s="15" t="n"/>
      <c r="G276" s="15" t="n"/>
      <c r="H276" s="15" t="n"/>
      <c r="I276" s="15" t="n"/>
      <c r="J276" s="16" t="n"/>
      <c r="K276" s="16" t="n"/>
      <c r="L276" s="17">
        <f>IF(OR(C276="Epic",J276=""),"",MAX(0,J276-N(K276)))</f>
        <v/>
      </c>
      <c r="M276" s="18" t="n"/>
      <c r="N276" s="19">
        <f>IF(OR(L276="",M276=""),"",L276*M276)</f>
        <v/>
      </c>
      <c r="O276" s="15" t="n"/>
      <c r="P276" s="16" t="n"/>
      <c r="Q276" s="20" t="n"/>
      <c r="R276" s="21">
        <f>IF(OR(B276="",C276="Epic"),"",IF(Q276="",Settings!$B$3,Q276))</f>
        <v/>
      </c>
      <c r="S276" s="21">
        <f>IF(OR(R276="",P276="",N(L276)=0),"",R276-P276-Settings!$B$4)</f>
        <v/>
      </c>
      <c r="T276" s="17">
        <f>IF(S276="","",S276-TODAY())</f>
        <v/>
      </c>
      <c r="U276" s="14">
        <f>IF(OR(B276="",C276="Epic"),"",IF(N(L276)=0,IF(J276="","","ON HAND"),IF(OR(O276="Ordered",O276="Shipped",O276="Received"),O276,IF(S276="","NEED LEAD TIME",IF(T276&lt;0,"OVERDUE",IF(T276&lt;=Settings!$B$5,"ORDER SOON","OK"))))))</f>
        <v/>
      </c>
      <c r="V276" s="15" t="n"/>
    </row>
    <row r="277">
      <c r="A277" s="14">
        <f>IF(B277="","",IF(C277="Epic",IFERROR(INDEX(Lists!$A:$A,MATCH(B277,Lists!$B:$B,0)),"?"),1000+ROW()))</f>
        <v/>
      </c>
      <c r="B277" s="15" t="n"/>
      <c r="C277" s="15" t="n"/>
      <c r="D277" s="15" t="n"/>
      <c r="E277" s="14">
        <f>IF(OR(C277="Epic",D277=""),"",IFERROR(INDEX(Lists!$A:$A,MATCH(D277,Lists!$B:$B,0)),""))</f>
        <v/>
      </c>
      <c r="F277" s="15" t="n"/>
      <c r="G277" s="15" t="n"/>
      <c r="H277" s="15" t="n"/>
      <c r="I277" s="15" t="n"/>
      <c r="J277" s="16" t="n"/>
      <c r="K277" s="16" t="n"/>
      <c r="L277" s="17">
        <f>IF(OR(C277="Epic",J277=""),"",MAX(0,J277-N(K277)))</f>
        <v/>
      </c>
      <c r="M277" s="18" t="n"/>
      <c r="N277" s="19">
        <f>IF(OR(L277="",M277=""),"",L277*M277)</f>
        <v/>
      </c>
      <c r="O277" s="15" t="n"/>
      <c r="P277" s="16" t="n"/>
      <c r="Q277" s="20" t="n"/>
      <c r="R277" s="21">
        <f>IF(OR(B277="",C277="Epic"),"",IF(Q277="",Settings!$B$3,Q277))</f>
        <v/>
      </c>
      <c r="S277" s="21">
        <f>IF(OR(R277="",P277="",N(L277)=0),"",R277-P277-Settings!$B$4)</f>
        <v/>
      </c>
      <c r="T277" s="17">
        <f>IF(S277="","",S277-TODAY())</f>
        <v/>
      </c>
      <c r="U277" s="14">
        <f>IF(OR(B277="",C277="Epic"),"",IF(N(L277)=0,IF(J277="","","ON HAND"),IF(OR(O277="Ordered",O277="Shipped",O277="Received"),O277,IF(S277="","NEED LEAD TIME",IF(T277&lt;0,"OVERDUE",IF(T277&lt;=Settings!$B$5,"ORDER SOON","OK"))))))</f>
        <v/>
      </c>
      <c r="V277" s="15" t="n"/>
    </row>
    <row r="278">
      <c r="A278" s="14">
        <f>IF(B278="","",IF(C278="Epic",IFERROR(INDEX(Lists!$A:$A,MATCH(B278,Lists!$B:$B,0)),"?"),1000+ROW()))</f>
        <v/>
      </c>
      <c r="B278" s="15" t="n"/>
      <c r="C278" s="15" t="n"/>
      <c r="D278" s="15" t="n"/>
      <c r="E278" s="14">
        <f>IF(OR(C278="Epic",D278=""),"",IFERROR(INDEX(Lists!$A:$A,MATCH(D278,Lists!$B:$B,0)),""))</f>
        <v/>
      </c>
      <c r="F278" s="15" t="n"/>
      <c r="G278" s="15" t="n"/>
      <c r="H278" s="15" t="n"/>
      <c r="I278" s="15" t="n"/>
      <c r="J278" s="16" t="n"/>
      <c r="K278" s="16" t="n"/>
      <c r="L278" s="17">
        <f>IF(OR(C278="Epic",J278=""),"",MAX(0,J278-N(K278)))</f>
        <v/>
      </c>
      <c r="M278" s="18" t="n"/>
      <c r="N278" s="19">
        <f>IF(OR(L278="",M278=""),"",L278*M278)</f>
        <v/>
      </c>
      <c r="O278" s="15" t="n"/>
      <c r="P278" s="16" t="n"/>
      <c r="Q278" s="20" t="n"/>
      <c r="R278" s="21">
        <f>IF(OR(B278="",C278="Epic"),"",IF(Q278="",Settings!$B$3,Q278))</f>
        <v/>
      </c>
      <c r="S278" s="21">
        <f>IF(OR(R278="",P278="",N(L278)=0),"",R278-P278-Settings!$B$4)</f>
        <v/>
      </c>
      <c r="T278" s="17">
        <f>IF(S278="","",S278-TODAY())</f>
        <v/>
      </c>
      <c r="U278" s="14">
        <f>IF(OR(B278="",C278="Epic"),"",IF(N(L278)=0,IF(J278="","","ON HAND"),IF(OR(O278="Ordered",O278="Shipped",O278="Received"),O278,IF(S278="","NEED LEAD TIME",IF(T278&lt;0,"OVERDUE",IF(T278&lt;=Settings!$B$5,"ORDER SOON","OK"))))))</f>
        <v/>
      </c>
      <c r="V278" s="15" t="n"/>
    </row>
    <row r="279">
      <c r="A279" s="14">
        <f>IF(B279="","",IF(C279="Epic",IFERROR(INDEX(Lists!$A:$A,MATCH(B279,Lists!$B:$B,0)),"?"),1000+ROW()))</f>
        <v/>
      </c>
      <c r="B279" s="15" t="n"/>
      <c r="C279" s="15" t="n"/>
      <c r="D279" s="15" t="n"/>
      <c r="E279" s="14">
        <f>IF(OR(C279="Epic",D279=""),"",IFERROR(INDEX(Lists!$A:$A,MATCH(D279,Lists!$B:$B,0)),""))</f>
        <v/>
      </c>
      <c r="F279" s="15" t="n"/>
      <c r="G279" s="15" t="n"/>
      <c r="H279" s="15" t="n"/>
      <c r="I279" s="15" t="n"/>
      <c r="J279" s="16" t="n"/>
      <c r="K279" s="16" t="n"/>
      <c r="L279" s="17">
        <f>IF(OR(C279="Epic",J279=""),"",MAX(0,J279-N(K279)))</f>
        <v/>
      </c>
      <c r="M279" s="18" t="n"/>
      <c r="N279" s="19">
        <f>IF(OR(L279="",M279=""),"",L279*M279)</f>
        <v/>
      </c>
      <c r="O279" s="15" t="n"/>
      <c r="P279" s="16" t="n"/>
      <c r="Q279" s="20" t="n"/>
      <c r="R279" s="21">
        <f>IF(OR(B279="",C279="Epic"),"",IF(Q279="",Settings!$B$3,Q279))</f>
        <v/>
      </c>
      <c r="S279" s="21">
        <f>IF(OR(R279="",P279="",N(L279)=0),"",R279-P279-Settings!$B$4)</f>
        <v/>
      </c>
      <c r="T279" s="17">
        <f>IF(S279="","",S279-TODAY())</f>
        <v/>
      </c>
      <c r="U279" s="14">
        <f>IF(OR(B279="",C279="Epic"),"",IF(N(L279)=0,IF(J279="","","ON HAND"),IF(OR(O279="Ordered",O279="Shipped",O279="Received"),O279,IF(S279="","NEED LEAD TIME",IF(T279&lt;0,"OVERDUE",IF(T279&lt;=Settings!$B$5,"ORDER SOON","OK"))))))</f>
        <v/>
      </c>
      <c r="V279" s="15" t="n"/>
    </row>
    <row r="280">
      <c r="A280" s="14">
        <f>IF(B280="","",IF(C280="Epic",IFERROR(INDEX(Lists!$A:$A,MATCH(B280,Lists!$B:$B,0)),"?"),1000+ROW()))</f>
        <v/>
      </c>
      <c r="B280" s="15" t="n"/>
      <c r="C280" s="15" t="n"/>
      <c r="D280" s="15" t="n"/>
      <c r="E280" s="14">
        <f>IF(OR(C280="Epic",D280=""),"",IFERROR(INDEX(Lists!$A:$A,MATCH(D280,Lists!$B:$B,0)),""))</f>
        <v/>
      </c>
      <c r="F280" s="15" t="n"/>
      <c r="G280" s="15" t="n"/>
      <c r="H280" s="15" t="n"/>
      <c r="I280" s="15" t="n"/>
      <c r="J280" s="16" t="n"/>
      <c r="K280" s="16" t="n"/>
      <c r="L280" s="17">
        <f>IF(OR(C280="Epic",J280=""),"",MAX(0,J280-N(K280)))</f>
        <v/>
      </c>
      <c r="M280" s="18" t="n"/>
      <c r="N280" s="19">
        <f>IF(OR(L280="",M280=""),"",L280*M280)</f>
        <v/>
      </c>
      <c r="O280" s="15" t="n"/>
      <c r="P280" s="16" t="n"/>
      <c r="Q280" s="20" t="n"/>
      <c r="R280" s="21">
        <f>IF(OR(B280="",C280="Epic"),"",IF(Q280="",Settings!$B$3,Q280))</f>
        <v/>
      </c>
      <c r="S280" s="21">
        <f>IF(OR(R280="",P280="",N(L280)=0),"",R280-P280-Settings!$B$4)</f>
        <v/>
      </c>
      <c r="T280" s="17">
        <f>IF(S280="","",S280-TODAY())</f>
        <v/>
      </c>
      <c r="U280" s="14">
        <f>IF(OR(B280="",C280="Epic"),"",IF(N(L280)=0,IF(J280="","","ON HAND"),IF(OR(O280="Ordered",O280="Shipped",O280="Received"),O280,IF(S280="","NEED LEAD TIME",IF(T280&lt;0,"OVERDUE",IF(T280&lt;=Settings!$B$5,"ORDER SOON","OK"))))))</f>
        <v/>
      </c>
      <c r="V280" s="15" t="n"/>
    </row>
    <row r="281">
      <c r="A281" s="14">
        <f>IF(B281="","",IF(C281="Epic",IFERROR(INDEX(Lists!$A:$A,MATCH(B281,Lists!$B:$B,0)),"?"),1000+ROW()))</f>
        <v/>
      </c>
      <c r="B281" s="15" t="n"/>
      <c r="C281" s="15" t="n"/>
      <c r="D281" s="15" t="n"/>
      <c r="E281" s="14">
        <f>IF(OR(C281="Epic",D281=""),"",IFERROR(INDEX(Lists!$A:$A,MATCH(D281,Lists!$B:$B,0)),""))</f>
        <v/>
      </c>
      <c r="F281" s="15" t="n"/>
      <c r="G281" s="15" t="n"/>
      <c r="H281" s="15" t="n"/>
      <c r="I281" s="15" t="n"/>
      <c r="J281" s="16" t="n"/>
      <c r="K281" s="16" t="n"/>
      <c r="L281" s="17">
        <f>IF(OR(C281="Epic",J281=""),"",MAX(0,J281-N(K281)))</f>
        <v/>
      </c>
      <c r="M281" s="18" t="n"/>
      <c r="N281" s="19">
        <f>IF(OR(L281="",M281=""),"",L281*M281)</f>
        <v/>
      </c>
      <c r="O281" s="15" t="n"/>
      <c r="P281" s="16" t="n"/>
      <c r="Q281" s="20" t="n"/>
      <c r="R281" s="21">
        <f>IF(OR(B281="",C281="Epic"),"",IF(Q281="",Settings!$B$3,Q281))</f>
        <v/>
      </c>
      <c r="S281" s="21">
        <f>IF(OR(R281="",P281="",N(L281)=0),"",R281-P281-Settings!$B$4)</f>
        <v/>
      </c>
      <c r="T281" s="17">
        <f>IF(S281="","",S281-TODAY())</f>
        <v/>
      </c>
      <c r="U281" s="14">
        <f>IF(OR(B281="",C281="Epic"),"",IF(N(L281)=0,IF(J281="","","ON HAND"),IF(OR(O281="Ordered",O281="Shipped",O281="Received"),O281,IF(S281="","NEED LEAD TIME",IF(T281&lt;0,"OVERDUE",IF(T281&lt;=Settings!$B$5,"ORDER SOON","OK"))))))</f>
        <v/>
      </c>
      <c r="V281" s="15" t="n"/>
    </row>
    <row r="282">
      <c r="A282" s="14">
        <f>IF(B282="","",IF(C282="Epic",IFERROR(INDEX(Lists!$A:$A,MATCH(B282,Lists!$B:$B,0)),"?"),1000+ROW()))</f>
        <v/>
      </c>
      <c r="B282" s="15" t="n"/>
      <c r="C282" s="15" t="n"/>
      <c r="D282" s="15" t="n"/>
      <c r="E282" s="14">
        <f>IF(OR(C282="Epic",D282=""),"",IFERROR(INDEX(Lists!$A:$A,MATCH(D282,Lists!$B:$B,0)),""))</f>
        <v/>
      </c>
      <c r="F282" s="15" t="n"/>
      <c r="G282" s="15" t="n"/>
      <c r="H282" s="15" t="n"/>
      <c r="I282" s="15" t="n"/>
      <c r="J282" s="16" t="n"/>
      <c r="K282" s="16" t="n"/>
      <c r="L282" s="17">
        <f>IF(OR(C282="Epic",J282=""),"",MAX(0,J282-N(K282)))</f>
        <v/>
      </c>
      <c r="M282" s="18" t="n"/>
      <c r="N282" s="19">
        <f>IF(OR(L282="",M282=""),"",L282*M282)</f>
        <v/>
      </c>
      <c r="O282" s="15" t="n"/>
      <c r="P282" s="16" t="n"/>
      <c r="Q282" s="20" t="n"/>
      <c r="R282" s="21">
        <f>IF(OR(B282="",C282="Epic"),"",IF(Q282="",Settings!$B$3,Q282))</f>
        <v/>
      </c>
      <c r="S282" s="21">
        <f>IF(OR(R282="",P282="",N(L282)=0),"",R282-P282-Settings!$B$4)</f>
        <v/>
      </c>
      <c r="T282" s="17">
        <f>IF(S282="","",S282-TODAY())</f>
        <v/>
      </c>
      <c r="U282" s="14">
        <f>IF(OR(B282="",C282="Epic"),"",IF(N(L282)=0,IF(J282="","","ON HAND"),IF(OR(O282="Ordered",O282="Shipped",O282="Received"),O282,IF(S282="","NEED LEAD TIME",IF(T282&lt;0,"OVERDUE",IF(T282&lt;=Settings!$B$5,"ORDER SOON","OK"))))))</f>
        <v/>
      </c>
      <c r="V282" s="15" t="n"/>
    </row>
    <row r="283">
      <c r="A283" s="14">
        <f>IF(B283="","",IF(C283="Epic",IFERROR(INDEX(Lists!$A:$A,MATCH(B283,Lists!$B:$B,0)),"?"),1000+ROW()))</f>
        <v/>
      </c>
      <c r="B283" s="15" t="n"/>
      <c r="C283" s="15" t="n"/>
      <c r="D283" s="15" t="n"/>
      <c r="E283" s="14">
        <f>IF(OR(C283="Epic",D283=""),"",IFERROR(INDEX(Lists!$A:$A,MATCH(D283,Lists!$B:$B,0)),""))</f>
        <v/>
      </c>
      <c r="F283" s="15" t="n"/>
      <c r="G283" s="15" t="n"/>
      <c r="H283" s="15" t="n"/>
      <c r="I283" s="15" t="n"/>
      <c r="J283" s="16" t="n"/>
      <c r="K283" s="16" t="n"/>
      <c r="L283" s="17">
        <f>IF(OR(C283="Epic",J283=""),"",MAX(0,J283-N(K283)))</f>
        <v/>
      </c>
      <c r="M283" s="18" t="n"/>
      <c r="N283" s="19">
        <f>IF(OR(L283="",M283=""),"",L283*M283)</f>
        <v/>
      </c>
      <c r="O283" s="15" t="n"/>
      <c r="P283" s="16" t="n"/>
      <c r="Q283" s="20" t="n"/>
      <c r="R283" s="21">
        <f>IF(OR(B283="",C283="Epic"),"",IF(Q283="",Settings!$B$3,Q283))</f>
        <v/>
      </c>
      <c r="S283" s="21">
        <f>IF(OR(R283="",P283="",N(L283)=0),"",R283-P283-Settings!$B$4)</f>
        <v/>
      </c>
      <c r="T283" s="17">
        <f>IF(S283="","",S283-TODAY())</f>
        <v/>
      </c>
      <c r="U283" s="14">
        <f>IF(OR(B283="",C283="Epic"),"",IF(N(L283)=0,IF(J283="","","ON HAND"),IF(OR(O283="Ordered",O283="Shipped",O283="Received"),O283,IF(S283="","NEED LEAD TIME",IF(T283&lt;0,"OVERDUE",IF(T283&lt;=Settings!$B$5,"ORDER SOON","OK"))))))</f>
        <v/>
      </c>
      <c r="V283" s="15" t="n"/>
    </row>
    <row r="284">
      <c r="A284" s="14">
        <f>IF(B284="","",IF(C284="Epic",IFERROR(INDEX(Lists!$A:$A,MATCH(B284,Lists!$B:$B,0)),"?"),1000+ROW()))</f>
        <v/>
      </c>
      <c r="B284" s="15" t="n"/>
      <c r="C284" s="15" t="n"/>
      <c r="D284" s="15" t="n"/>
      <c r="E284" s="14">
        <f>IF(OR(C284="Epic",D284=""),"",IFERROR(INDEX(Lists!$A:$A,MATCH(D284,Lists!$B:$B,0)),""))</f>
        <v/>
      </c>
      <c r="F284" s="15" t="n"/>
      <c r="G284" s="15" t="n"/>
      <c r="H284" s="15" t="n"/>
      <c r="I284" s="15" t="n"/>
      <c r="J284" s="16" t="n"/>
      <c r="K284" s="16" t="n"/>
      <c r="L284" s="17">
        <f>IF(OR(C284="Epic",J284=""),"",MAX(0,J284-N(K284)))</f>
        <v/>
      </c>
      <c r="M284" s="18" t="n"/>
      <c r="N284" s="19">
        <f>IF(OR(L284="",M284=""),"",L284*M284)</f>
        <v/>
      </c>
      <c r="O284" s="15" t="n"/>
      <c r="P284" s="16" t="n"/>
      <c r="Q284" s="20" t="n"/>
      <c r="R284" s="21">
        <f>IF(OR(B284="",C284="Epic"),"",IF(Q284="",Settings!$B$3,Q284))</f>
        <v/>
      </c>
      <c r="S284" s="21">
        <f>IF(OR(R284="",P284="",N(L284)=0),"",R284-P284-Settings!$B$4)</f>
        <v/>
      </c>
      <c r="T284" s="17">
        <f>IF(S284="","",S284-TODAY())</f>
        <v/>
      </c>
      <c r="U284" s="14">
        <f>IF(OR(B284="",C284="Epic"),"",IF(N(L284)=0,IF(J284="","","ON HAND"),IF(OR(O284="Ordered",O284="Shipped",O284="Received"),O284,IF(S284="","NEED LEAD TIME",IF(T284&lt;0,"OVERDUE",IF(T284&lt;=Settings!$B$5,"ORDER SOON","OK"))))))</f>
        <v/>
      </c>
      <c r="V284" s="15" t="n"/>
    </row>
    <row r="285">
      <c r="A285" s="14">
        <f>IF(B285="","",IF(C285="Epic",IFERROR(INDEX(Lists!$A:$A,MATCH(B285,Lists!$B:$B,0)),"?"),1000+ROW()))</f>
        <v/>
      </c>
      <c r="B285" s="15" t="n"/>
      <c r="C285" s="15" t="n"/>
      <c r="D285" s="15" t="n"/>
      <c r="E285" s="14">
        <f>IF(OR(C285="Epic",D285=""),"",IFERROR(INDEX(Lists!$A:$A,MATCH(D285,Lists!$B:$B,0)),""))</f>
        <v/>
      </c>
      <c r="F285" s="15" t="n"/>
      <c r="G285" s="15" t="n"/>
      <c r="H285" s="15" t="n"/>
      <c r="I285" s="15" t="n"/>
      <c r="J285" s="16" t="n"/>
      <c r="K285" s="16" t="n"/>
      <c r="L285" s="17">
        <f>IF(OR(C285="Epic",J285=""),"",MAX(0,J285-N(K285)))</f>
        <v/>
      </c>
      <c r="M285" s="18" t="n"/>
      <c r="N285" s="19">
        <f>IF(OR(L285="",M285=""),"",L285*M285)</f>
        <v/>
      </c>
      <c r="O285" s="15" t="n"/>
      <c r="P285" s="16" t="n"/>
      <c r="Q285" s="20" t="n"/>
      <c r="R285" s="21">
        <f>IF(OR(B285="",C285="Epic"),"",IF(Q285="",Settings!$B$3,Q285))</f>
        <v/>
      </c>
      <c r="S285" s="21">
        <f>IF(OR(R285="",P285="",N(L285)=0),"",R285-P285-Settings!$B$4)</f>
        <v/>
      </c>
      <c r="T285" s="17">
        <f>IF(S285="","",S285-TODAY())</f>
        <v/>
      </c>
      <c r="U285" s="14">
        <f>IF(OR(B285="",C285="Epic"),"",IF(N(L285)=0,IF(J285="","","ON HAND"),IF(OR(O285="Ordered",O285="Shipped",O285="Received"),O285,IF(S285="","NEED LEAD TIME",IF(T285&lt;0,"OVERDUE",IF(T285&lt;=Settings!$B$5,"ORDER SOON","OK"))))))</f>
        <v/>
      </c>
      <c r="V285" s="15" t="n"/>
    </row>
    <row r="286">
      <c r="A286" s="14">
        <f>IF(B286="","",IF(C286="Epic",IFERROR(INDEX(Lists!$A:$A,MATCH(B286,Lists!$B:$B,0)),"?"),1000+ROW()))</f>
        <v/>
      </c>
      <c r="B286" s="15" t="n"/>
      <c r="C286" s="15" t="n"/>
      <c r="D286" s="15" t="n"/>
      <c r="E286" s="14">
        <f>IF(OR(C286="Epic",D286=""),"",IFERROR(INDEX(Lists!$A:$A,MATCH(D286,Lists!$B:$B,0)),""))</f>
        <v/>
      </c>
      <c r="F286" s="15" t="n"/>
      <c r="G286" s="15" t="n"/>
      <c r="H286" s="15" t="n"/>
      <c r="I286" s="15" t="n"/>
      <c r="J286" s="16" t="n"/>
      <c r="K286" s="16" t="n"/>
      <c r="L286" s="17">
        <f>IF(OR(C286="Epic",J286=""),"",MAX(0,J286-N(K286)))</f>
        <v/>
      </c>
      <c r="M286" s="18" t="n"/>
      <c r="N286" s="19">
        <f>IF(OR(L286="",M286=""),"",L286*M286)</f>
        <v/>
      </c>
      <c r="O286" s="15" t="n"/>
      <c r="P286" s="16" t="n"/>
      <c r="Q286" s="20" t="n"/>
      <c r="R286" s="21">
        <f>IF(OR(B286="",C286="Epic"),"",IF(Q286="",Settings!$B$3,Q286))</f>
        <v/>
      </c>
      <c r="S286" s="21">
        <f>IF(OR(R286="",P286="",N(L286)=0),"",R286-P286-Settings!$B$4)</f>
        <v/>
      </c>
      <c r="T286" s="17">
        <f>IF(S286="","",S286-TODAY())</f>
        <v/>
      </c>
      <c r="U286" s="14">
        <f>IF(OR(B286="",C286="Epic"),"",IF(N(L286)=0,IF(J286="","","ON HAND"),IF(OR(O286="Ordered",O286="Shipped",O286="Received"),O286,IF(S286="","NEED LEAD TIME",IF(T286&lt;0,"OVERDUE",IF(T286&lt;=Settings!$B$5,"ORDER SOON","OK"))))))</f>
        <v/>
      </c>
      <c r="V286" s="15" t="n"/>
    </row>
    <row r="287">
      <c r="A287" s="14">
        <f>IF(B287="","",IF(C287="Epic",IFERROR(INDEX(Lists!$A:$A,MATCH(B287,Lists!$B:$B,0)),"?"),1000+ROW()))</f>
        <v/>
      </c>
      <c r="B287" s="15" t="n"/>
      <c r="C287" s="15" t="n"/>
      <c r="D287" s="15" t="n"/>
      <c r="E287" s="14">
        <f>IF(OR(C287="Epic",D287=""),"",IFERROR(INDEX(Lists!$A:$A,MATCH(D287,Lists!$B:$B,0)),""))</f>
        <v/>
      </c>
      <c r="F287" s="15" t="n"/>
      <c r="G287" s="15" t="n"/>
      <c r="H287" s="15" t="n"/>
      <c r="I287" s="15" t="n"/>
      <c r="J287" s="16" t="n"/>
      <c r="K287" s="16" t="n"/>
      <c r="L287" s="17">
        <f>IF(OR(C287="Epic",J287=""),"",MAX(0,J287-N(K287)))</f>
        <v/>
      </c>
      <c r="M287" s="18" t="n"/>
      <c r="N287" s="19">
        <f>IF(OR(L287="",M287=""),"",L287*M287)</f>
        <v/>
      </c>
      <c r="O287" s="15" t="n"/>
      <c r="P287" s="16" t="n"/>
      <c r="Q287" s="20" t="n"/>
      <c r="R287" s="21">
        <f>IF(OR(B287="",C287="Epic"),"",IF(Q287="",Settings!$B$3,Q287))</f>
        <v/>
      </c>
      <c r="S287" s="21">
        <f>IF(OR(R287="",P287="",N(L287)=0),"",R287-P287-Settings!$B$4)</f>
        <v/>
      </c>
      <c r="T287" s="17">
        <f>IF(S287="","",S287-TODAY())</f>
        <v/>
      </c>
      <c r="U287" s="14">
        <f>IF(OR(B287="",C287="Epic"),"",IF(N(L287)=0,IF(J287="","","ON HAND"),IF(OR(O287="Ordered",O287="Shipped",O287="Received"),O287,IF(S287="","NEED LEAD TIME",IF(T287&lt;0,"OVERDUE",IF(T287&lt;=Settings!$B$5,"ORDER SOON","OK"))))))</f>
        <v/>
      </c>
      <c r="V287" s="15" t="n"/>
    </row>
    <row r="288">
      <c r="A288" s="14">
        <f>IF(B288="","",IF(C288="Epic",IFERROR(INDEX(Lists!$A:$A,MATCH(B288,Lists!$B:$B,0)),"?"),1000+ROW()))</f>
        <v/>
      </c>
      <c r="B288" s="15" t="n"/>
      <c r="C288" s="15" t="n"/>
      <c r="D288" s="15" t="n"/>
      <c r="E288" s="14">
        <f>IF(OR(C288="Epic",D288=""),"",IFERROR(INDEX(Lists!$A:$A,MATCH(D288,Lists!$B:$B,0)),""))</f>
        <v/>
      </c>
      <c r="F288" s="15" t="n"/>
      <c r="G288" s="15" t="n"/>
      <c r="H288" s="15" t="n"/>
      <c r="I288" s="15" t="n"/>
      <c r="J288" s="16" t="n"/>
      <c r="K288" s="16" t="n"/>
      <c r="L288" s="17">
        <f>IF(OR(C288="Epic",J288=""),"",MAX(0,J288-N(K288)))</f>
        <v/>
      </c>
      <c r="M288" s="18" t="n"/>
      <c r="N288" s="19">
        <f>IF(OR(L288="",M288=""),"",L288*M288)</f>
        <v/>
      </c>
      <c r="O288" s="15" t="n"/>
      <c r="P288" s="16" t="n"/>
      <c r="Q288" s="20" t="n"/>
      <c r="R288" s="21">
        <f>IF(OR(B288="",C288="Epic"),"",IF(Q288="",Settings!$B$3,Q288))</f>
        <v/>
      </c>
      <c r="S288" s="21">
        <f>IF(OR(R288="",P288="",N(L288)=0),"",R288-P288-Settings!$B$4)</f>
        <v/>
      </c>
      <c r="T288" s="17">
        <f>IF(S288="","",S288-TODAY())</f>
        <v/>
      </c>
      <c r="U288" s="14">
        <f>IF(OR(B288="",C288="Epic"),"",IF(N(L288)=0,IF(J288="","","ON HAND"),IF(OR(O288="Ordered",O288="Shipped",O288="Received"),O288,IF(S288="","NEED LEAD TIME",IF(T288&lt;0,"OVERDUE",IF(T288&lt;=Settings!$B$5,"ORDER SOON","OK"))))))</f>
        <v/>
      </c>
      <c r="V288" s="15" t="n"/>
    </row>
    <row r="289">
      <c r="A289" s="14">
        <f>IF(B289="","",IF(C289="Epic",IFERROR(INDEX(Lists!$A:$A,MATCH(B289,Lists!$B:$B,0)),"?"),1000+ROW()))</f>
        <v/>
      </c>
      <c r="B289" s="15" t="n"/>
      <c r="C289" s="15" t="n"/>
      <c r="D289" s="15" t="n"/>
      <c r="E289" s="14">
        <f>IF(OR(C289="Epic",D289=""),"",IFERROR(INDEX(Lists!$A:$A,MATCH(D289,Lists!$B:$B,0)),""))</f>
        <v/>
      </c>
      <c r="F289" s="15" t="n"/>
      <c r="G289" s="15" t="n"/>
      <c r="H289" s="15" t="n"/>
      <c r="I289" s="15" t="n"/>
      <c r="J289" s="16" t="n"/>
      <c r="K289" s="16" t="n"/>
      <c r="L289" s="17">
        <f>IF(OR(C289="Epic",J289=""),"",MAX(0,J289-N(K289)))</f>
        <v/>
      </c>
      <c r="M289" s="18" t="n"/>
      <c r="N289" s="19">
        <f>IF(OR(L289="",M289=""),"",L289*M289)</f>
        <v/>
      </c>
      <c r="O289" s="15" t="n"/>
      <c r="P289" s="16" t="n"/>
      <c r="Q289" s="20" t="n"/>
      <c r="R289" s="21">
        <f>IF(OR(B289="",C289="Epic"),"",IF(Q289="",Settings!$B$3,Q289))</f>
        <v/>
      </c>
      <c r="S289" s="21">
        <f>IF(OR(R289="",P289="",N(L289)=0),"",R289-P289-Settings!$B$4)</f>
        <v/>
      </c>
      <c r="T289" s="17">
        <f>IF(S289="","",S289-TODAY())</f>
        <v/>
      </c>
      <c r="U289" s="14">
        <f>IF(OR(B289="",C289="Epic"),"",IF(N(L289)=0,IF(J289="","","ON HAND"),IF(OR(O289="Ordered",O289="Shipped",O289="Received"),O289,IF(S289="","NEED LEAD TIME",IF(T289&lt;0,"OVERDUE",IF(T289&lt;=Settings!$B$5,"ORDER SOON","OK"))))))</f>
        <v/>
      </c>
      <c r="V289" s="15" t="n"/>
    </row>
    <row r="290">
      <c r="A290" s="14">
        <f>IF(B290="","",IF(C290="Epic",IFERROR(INDEX(Lists!$A:$A,MATCH(B290,Lists!$B:$B,0)),"?"),1000+ROW()))</f>
        <v/>
      </c>
      <c r="B290" s="15" t="n"/>
      <c r="C290" s="15" t="n"/>
      <c r="D290" s="15" t="n"/>
      <c r="E290" s="14">
        <f>IF(OR(C290="Epic",D290=""),"",IFERROR(INDEX(Lists!$A:$A,MATCH(D290,Lists!$B:$B,0)),""))</f>
        <v/>
      </c>
      <c r="F290" s="15" t="n"/>
      <c r="G290" s="15" t="n"/>
      <c r="H290" s="15" t="n"/>
      <c r="I290" s="15" t="n"/>
      <c r="J290" s="16" t="n"/>
      <c r="K290" s="16" t="n"/>
      <c r="L290" s="17">
        <f>IF(OR(C290="Epic",J290=""),"",MAX(0,J290-N(K290)))</f>
        <v/>
      </c>
      <c r="M290" s="18" t="n"/>
      <c r="N290" s="19">
        <f>IF(OR(L290="",M290=""),"",L290*M290)</f>
        <v/>
      </c>
      <c r="O290" s="15" t="n"/>
      <c r="P290" s="16" t="n"/>
      <c r="Q290" s="20" t="n"/>
      <c r="R290" s="21">
        <f>IF(OR(B290="",C290="Epic"),"",IF(Q290="",Settings!$B$3,Q290))</f>
        <v/>
      </c>
      <c r="S290" s="21">
        <f>IF(OR(R290="",P290="",N(L290)=0),"",R290-P290-Settings!$B$4)</f>
        <v/>
      </c>
      <c r="T290" s="17">
        <f>IF(S290="","",S290-TODAY())</f>
        <v/>
      </c>
      <c r="U290" s="14">
        <f>IF(OR(B290="",C290="Epic"),"",IF(N(L290)=0,IF(J290="","","ON HAND"),IF(OR(O290="Ordered",O290="Shipped",O290="Received"),O290,IF(S290="","NEED LEAD TIME",IF(T290&lt;0,"OVERDUE",IF(T290&lt;=Settings!$B$5,"ORDER SOON","OK"))))))</f>
        <v/>
      </c>
      <c r="V290" s="15" t="n"/>
    </row>
    <row r="291">
      <c r="A291" s="14">
        <f>IF(B291="","",IF(C291="Epic",IFERROR(INDEX(Lists!$A:$A,MATCH(B291,Lists!$B:$B,0)),"?"),1000+ROW()))</f>
        <v/>
      </c>
      <c r="B291" s="15" t="n"/>
      <c r="C291" s="15" t="n"/>
      <c r="D291" s="15" t="n"/>
      <c r="E291" s="14">
        <f>IF(OR(C291="Epic",D291=""),"",IFERROR(INDEX(Lists!$A:$A,MATCH(D291,Lists!$B:$B,0)),""))</f>
        <v/>
      </c>
      <c r="F291" s="15" t="n"/>
      <c r="G291" s="15" t="n"/>
      <c r="H291" s="15" t="n"/>
      <c r="I291" s="15" t="n"/>
      <c r="J291" s="16" t="n"/>
      <c r="K291" s="16" t="n"/>
      <c r="L291" s="17">
        <f>IF(OR(C291="Epic",J291=""),"",MAX(0,J291-N(K291)))</f>
        <v/>
      </c>
      <c r="M291" s="18" t="n"/>
      <c r="N291" s="19">
        <f>IF(OR(L291="",M291=""),"",L291*M291)</f>
        <v/>
      </c>
      <c r="O291" s="15" t="n"/>
      <c r="P291" s="16" t="n"/>
      <c r="Q291" s="20" t="n"/>
      <c r="R291" s="21">
        <f>IF(OR(B291="",C291="Epic"),"",IF(Q291="",Settings!$B$3,Q291))</f>
        <v/>
      </c>
      <c r="S291" s="21">
        <f>IF(OR(R291="",P291="",N(L291)=0),"",R291-P291-Settings!$B$4)</f>
        <v/>
      </c>
      <c r="T291" s="17">
        <f>IF(S291="","",S291-TODAY())</f>
        <v/>
      </c>
      <c r="U291" s="14">
        <f>IF(OR(B291="",C291="Epic"),"",IF(N(L291)=0,IF(J291="","","ON HAND"),IF(OR(O291="Ordered",O291="Shipped",O291="Received"),O291,IF(S291="","NEED LEAD TIME",IF(T291&lt;0,"OVERDUE",IF(T291&lt;=Settings!$B$5,"ORDER SOON","OK"))))))</f>
        <v/>
      </c>
      <c r="V291" s="15" t="n"/>
    </row>
    <row r="292">
      <c r="A292" s="14">
        <f>IF(B292="","",IF(C292="Epic",IFERROR(INDEX(Lists!$A:$A,MATCH(B292,Lists!$B:$B,0)),"?"),1000+ROW()))</f>
        <v/>
      </c>
      <c r="B292" s="15" t="n"/>
      <c r="C292" s="15" t="n"/>
      <c r="D292" s="15" t="n"/>
      <c r="E292" s="14">
        <f>IF(OR(C292="Epic",D292=""),"",IFERROR(INDEX(Lists!$A:$A,MATCH(D292,Lists!$B:$B,0)),""))</f>
        <v/>
      </c>
      <c r="F292" s="15" t="n"/>
      <c r="G292" s="15" t="n"/>
      <c r="H292" s="15" t="n"/>
      <c r="I292" s="15" t="n"/>
      <c r="J292" s="16" t="n"/>
      <c r="K292" s="16" t="n"/>
      <c r="L292" s="17">
        <f>IF(OR(C292="Epic",J292=""),"",MAX(0,J292-N(K292)))</f>
        <v/>
      </c>
      <c r="M292" s="18" t="n"/>
      <c r="N292" s="19">
        <f>IF(OR(L292="",M292=""),"",L292*M292)</f>
        <v/>
      </c>
      <c r="O292" s="15" t="n"/>
      <c r="P292" s="16" t="n"/>
      <c r="Q292" s="20" t="n"/>
      <c r="R292" s="21">
        <f>IF(OR(B292="",C292="Epic"),"",IF(Q292="",Settings!$B$3,Q292))</f>
        <v/>
      </c>
      <c r="S292" s="21">
        <f>IF(OR(R292="",P292="",N(L292)=0),"",R292-P292-Settings!$B$4)</f>
        <v/>
      </c>
      <c r="T292" s="17">
        <f>IF(S292="","",S292-TODAY())</f>
        <v/>
      </c>
      <c r="U292" s="14">
        <f>IF(OR(B292="",C292="Epic"),"",IF(N(L292)=0,IF(J292="","","ON HAND"),IF(OR(O292="Ordered",O292="Shipped",O292="Received"),O292,IF(S292="","NEED LEAD TIME",IF(T292&lt;0,"OVERDUE",IF(T292&lt;=Settings!$B$5,"ORDER SOON","OK"))))))</f>
        <v/>
      </c>
      <c r="V292" s="15" t="n"/>
    </row>
    <row r="293">
      <c r="A293" s="14">
        <f>IF(B293="","",IF(C293="Epic",IFERROR(INDEX(Lists!$A:$A,MATCH(B293,Lists!$B:$B,0)),"?"),1000+ROW()))</f>
        <v/>
      </c>
      <c r="B293" s="15" t="n"/>
      <c r="C293" s="15" t="n"/>
      <c r="D293" s="15" t="n"/>
      <c r="E293" s="14">
        <f>IF(OR(C293="Epic",D293=""),"",IFERROR(INDEX(Lists!$A:$A,MATCH(D293,Lists!$B:$B,0)),""))</f>
        <v/>
      </c>
      <c r="F293" s="15" t="n"/>
      <c r="G293" s="15" t="n"/>
      <c r="H293" s="15" t="n"/>
      <c r="I293" s="15" t="n"/>
      <c r="J293" s="16" t="n"/>
      <c r="K293" s="16" t="n"/>
      <c r="L293" s="17">
        <f>IF(OR(C293="Epic",J293=""),"",MAX(0,J293-N(K293)))</f>
        <v/>
      </c>
      <c r="M293" s="18" t="n"/>
      <c r="N293" s="19">
        <f>IF(OR(L293="",M293=""),"",L293*M293)</f>
        <v/>
      </c>
      <c r="O293" s="15" t="n"/>
      <c r="P293" s="16" t="n"/>
      <c r="Q293" s="20" t="n"/>
      <c r="R293" s="21">
        <f>IF(OR(B293="",C293="Epic"),"",IF(Q293="",Settings!$B$3,Q293))</f>
        <v/>
      </c>
      <c r="S293" s="21">
        <f>IF(OR(R293="",P293="",N(L293)=0),"",R293-P293-Settings!$B$4)</f>
        <v/>
      </c>
      <c r="T293" s="17">
        <f>IF(S293="","",S293-TODAY())</f>
        <v/>
      </c>
      <c r="U293" s="14">
        <f>IF(OR(B293="",C293="Epic"),"",IF(N(L293)=0,IF(J293="","","ON HAND"),IF(OR(O293="Ordered",O293="Shipped",O293="Received"),O293,IF(S293="","NEED LEAD TIME",IF(T293&lt;0,"OVERDUE",IF(T293&lt;=Settings!$B$5,"ORDER SOON","OK"))))))</f>
        <v/>
      </c>
      <c r="V293" s="15" t="n"/>
    </row>
    <row r="294">
      <c r="A294" s="14">
        <f>IF(B294="","",IF(C294="Epic",IFERROR(INDEX(Lists!$A:$A,MATCH(B294,Lists!$B:$B,0)),"?"),1000+ROW()))</f>
        <v/>
      </c>
      <c r="B294" s="15" t="n"/>
      <c r="C294" s="15" t="n"/>
      <c r="D294" s="15" t="n"/>
      <c r="E294" s="14">
        <f>IF(OR(C294="Epic",D294=""),"",IFERROR(INDEX(Lists!$A:$A,MATCH(D294,Lists!$B:$B,0)),""))</f>
        <v/>
      </c>
      <c r="F294" s="15" t="n"/>
      <c r="G294" s="15" t="n"/>
      <c r="H294" s="15" t="n"/>
      <c r="I294" s="15" t="n"/>
      <c r="J294" s="16" t="n"/>
      <c r="K294" s="16" t="n"/>
      <c r="L294" s="17">
        <f>IF(OR(C294="Epic",J294=""),"",MAX(0,J294-N(K294)))</f>
        <v/>
      </c>
      <c r="M294" s="18" t="n"/>
      <c r="N294" s="19">
        <f>IF(OR(L294="",M294=""),"",L294*M294)</f>
        <v/>
      </c>
      <c r="O294" s="15" t="n"/>
      <c r="P294" s="16" t="n"/>
      <c r="Q294" s="20" t="n"/>
      <c r="R294" s="21">
        <f>IF(OR(B294="",C294="Epic"),"",IF(Q294="",Settings!$B$3,Q294))</f>
        <v/>
      </c>
      <c r="S294" s="21">
        <f>IF(OR(R294="",P294="",N(L294)=0),"",R294-P294-Settings!$B$4)</f>
        <v/>
      </c>
      <c r="T294" s="17">
        <f>IF(S294="","",S294-TODAY())</f>
        <v/>
      </c>
      <c r="U294" s="14">
        <f>IF(OR(B294="",C294="Epic"),"",IF(N(L294)=0,IF(J294="","","ON HAND"),IF(OR(O294="Ordered",O294="Shipped",O294="Received"),O294,IF(S294="","NEED LEAD TIME",IF(T294&lt;0,"OVERDUE",IF(T294&lt;=Settings!$B$5,"ORDER SOON","OK"))))))</f>
        <v/>
      </c>
      <c r="V294" s="15" t="n"/>
    </row>
    <row r="295">
      <c r="A295" s="14">
        <f>IF(B295="","",IF(C295="Epic",IFERROR(INDEX(Lists!$A:$A,MATCH(B295,Lists!$B:$B,0)),"?"),1000+ROW()))</f>
        <v/>
      </c>
      <c r="B295" s="15" t="n"/>
      <c r="C295" s="15" t="n"/>
      <c r="D295" s="15" t="n"/>
      <c r="E295" s="14">
        <f>IF(OR(C295="Epic",D295=""),"",IFERROR(INDEX(Lists!$A:$A,MATCH(D295,Lists!$B:$B,0)),""))</f>
        <v/>
      </c>
      <c r="F295" s="15" t="n"/>
      <c r="G295" s="15" t="n"/>
      <c r="H295" s="15" t="n"/>
      <c r="I295" s="15" t="n"/>
      <c r="J295" s="16" t="n"/>
      <c r="K295" s="16" t="n"/>
      <c r="L295" s="17">
        <f>IF(OR(C295="Epic",J295=""),"",MAX(0,J295-N(K295)))</f>
        <v/>
      </c>
      <c r="M295" s="18" t="n"/>
      <c r="N295" s="19">
        <f>IF(OR(L295="",M295=""),"",L295*M295)</f>
        <v/>
      </c>
      <c r="O295" s="15" t="n"/>
      <c r="P295" s="16" t="n"/>
      <c r="Q295" s="20" t="n"/>
      <c r="R295" s="21">
        <f>IF(OR(B295="",C295="Epic"),"",IF(Q295="",Settings!$B$3,Q295))</f>
        <v/>
      </c>
      <c r="S295" s="21">
        <f>IF(OR(R295="",P295="",N(L295)=0),"",R295-P295-Settings!$B$4)</f>
        <v/>
      </c>
      <c r="T295" s="17">
        <f>IF(S295="","",S295-TODAY())</f>
        <v/>
      </c>
      <c r="U295" s="14">
        <f>IF(OR(B295="",C295="Epic"),"",IF(N(L295)=0,IF(J295="","","ON HAND"),IF(OR(O295="Ordered",O295="Shipped",O295="Received"),O295,IF(S295="","NEED LEAD TIME",IF(T295&lt;0,"OVERDUE",IF(T295&lt;=Settings!$B$5,"ORDER SOON","OK"))))))</f>
        <v/>
      </c>
      <c r="V295" s="15" t="n"/>
    </row>
    <row r="296">
      <c r="A296" s="14">
        <f>IF(B296="","",IF(C296="Epic",IFERROR(INDEX(Lists!$A:$A,MATCH(B296,Lists!$B:$B,0)),"?"),1000+ROW()))</f>
        <v/>
      </c>
      <c r="B296" s="15" t="n"/>
      <c r="C296" s="15" t="n"/>
      <c r="D296" s="15" t="n"/>
      <c r="E296" s="14">
        <f>IF(OR(C296="Epic",D296=""),"",IFERROR(INDEX(Lists!$A:$A,MATCH(D296,Lists!$B:$B,0)),""))</f>
        <v/>
      </c>
      <c r="F296" s="15" t="n"/>
      <c r="G296" s="15" t="n"/>
      <c r="H296" s="15" t="n"/>
      <c r="I296" s="15" t="n"/>
      <c r="J296" s="16" t="n"/>
      <c r="K296" s="16" t="n"/>
      <c r="L296" s="17">
        <f>IF(OR(C296="Epic",J296=""),"",MAX(0,J296-N(K296)))</f>
        <v/>
      </c>
      <c r="M296" s="18" t="n"/>
      <c r="N296" s="19">
        <f>IF(OR(L296="",M296=""),"",L296*M296)</f>
        <v/>
      </c>
      <c r="O296" s="15" t="n"/>
      <c r="P296" s="16" t="n"/>
      <c r="Q296" s="20" t="n"/>
      <c r="R296" s="21">
        <f>IF(OR(B296="",C296="Epic"),"",IF(Q296="",Settings!$B$3,Q296))</f>
        <v/>
      </c>
      <c r="S296" s="21">
        <f>IF(OR(R296="",P296="",N(L296)=0),"",R296-P296-Settings!$B$4)</f>
        <v/>
      </c>
      <c r="T296" s="17">
        <f>IF(S296="","",S296-TODAY())</f>
        <v/>
      </c>
      <c r="U296" s="14">
        <f>IF(OR(B296="",C296="Epic"),"",IF(N(L296)=0,IF(J296="","","ON HAND"),IF(OR(O296="Ordered",O296="Shipped",O296="Received"),O296,IF(S296="","NEED LEAD TIME",IF(T296&lt;0,"OVERDUE",IF(T296&lt;=Settings!$B$5,"ORDER SOON","OK"))))))</f>
        <v/>
      </c>
      <c r="V296" s="15" t="n"/>
    </row>
    <row r="297">
      <c r="A297" s="14">
        <f>IF(B297="","",IF(C297="Epic",IFERROR(INDEX(Lists!$A:$A,MATCH(B297,Lists!$B:$B,0)),"?"),1000+ROW()))</f>
        <v/>
      </c>
      <c r="B297" s="15" t="n"/>
      <c r="C297" s="15" t="n"/>
      <c r="D297" s="15" t="n"/>
      <c r="E297" s="14">
        <f>IF(OR(C297="Epic",D297=""),"",IFERROR(INDEX(Lists!$A:$A,MATCH(D297,Lists!$B:$B,0)),""))</f>
        <v/>
      </c>
      <c r="F297" s="15" t="n"/>
      <c r="G297" s="15" t="n"/>
      <c r="H297" s="15" t="n"/>
      <c r="I297" s="15" t="n"/>
      <c r="J297" s="16" t="n"/>
      <c r="K297" s="16" t="n"/>
      <c r="L297" s="17">
        <f>IF(OR(C297="Epic",J297=""),"",MAX(0,J297-N(K297)))</f>
        <v/>
      </c>
      <c r="M297" s="18" t="n"/>
      <c r="N297" s="19">
        <f>IF(OR(L297="",M297=""),"",L297*M297)</f>
        <v/>
      </c>
      <c r="O297" s="15" t="n"/>
      <c r="P297" s="16" t="n"/>
      <c r="Q297" s="20" t="n"/>
      <c r="R297" s="21">
        <f>IF(OR(B297="",C297="Epic"),"",IF(Q297="",Settings!$B$3,Q297))</f>
        <v/>
      </c>
      <c r="S297" s="21">
        <f>IF(OR(R297="",P297="",N(L297)=0),"",R297-P297-Settings!$B$4)</f>
        <v/>
      </c>
      <c r="T297" s="17">
        <f>IF(S297="","",S297-TODAY())</f>
        <v/>
      </c>
      <c r="U297" s="14">
        <f>IF(OR(B297="",C297="Epic"),"",IF(N(L297)=0,IF(J297="","","ON HAND"),IF(OR(O297="Ordered",O297="Shipped",O297="Received"),O297,IF(S297="","NEED LEAD TIME",IF(T297&lt;0,"OVERDUE",IF(T297&lt;=Settings!$B$5,"ORDER SOON","OK"))))))</f>
        <v/>
      </c>
      <c r="V297" s="15" t="n"/>
    </row>
    <row r="298">
      <c r="A298" s="14">
        <f>IF(B298="","",IF(C298="Epic",IFERROR(INDEX(Lists!$A:$A,MATCH(B298,Lists!$B:$B,0)),"?"),1000+ROW()))</f>
        <v/>
      </c>
      <c r="B298" s="15" t="n"/>
      <c r="C298" s="15" t="n"/>
      <c r="D298" s="15" t="n"/>
      <c r="E298" s="14">
        <f>IF(OR(C298="Epic",D298=""),"",IFERROR(INDEX(Lists!$A:$A,MATCH(D298,Lists!$B:$B,0)),""))</f>
        <v/>
      </c>
      <c r="F298" s="15" t="n"/>
      <c r="G298" s="15" t="n"/>
      <c r="H298" s="15" t="n"/>
      <c r="I298" s="15" t="n"/>
      <c r="J298" s="16" t="n"/>
      <c r="K298" s="16" t="n"/>
      <c r="L298" s="17">
        <f>IF(OR(C298="Epic",J298=""),"",MAX(0,J298-N(K298)))</f>
        <v/>
      </c>
      <c r="M298" s="18" t="n"/>
      <c r="N298" s="19">
        <f>IF(OR(L298="",M298=""),"",L298*M298)</f>
        <v/>
      </c>
      <c r="O298" s="15" t="n"/>
      <c r="P298" s="16" t="n"/>
      <c r="Q298" s="20" t="n"/>
      <c r="R298" s="21">
        <f>IF(OR(B298="",C298="Epic"),"",IF(Q298="",Settings!$B$3,Q298))</f>
        <v/>
      </c>
      <c r="S298" s="21">
        <f>IF(OR(R298="",P298="",N(L298)=0),"",R298-P298-Settings!$B$4)</f>
        <v/>
      </c>
      <c r="T298" s="17">
        <f>IF(S298="","",S298-TODAY())</f>
        <v/>
      </c>
      <c r="U298" s="14">
        <f>IF(OR(B298="",C298="Epic"),"",IF(N(L298)=0,IF(J298="","","ON HAND"),IF(OR(O298="Ordered",O298="Shipped",O298="Received"),O298,IF(S298="","NEED LEAD TIME",IF(T298&lt;0,"OVERDUE",IF(T298&lt;=Settings!$B$5,"ORDER SOON","OK"))))))</f>
        <v/>
      </c>
      <c r="V298" s="15" t="n"/>
    </row>
    <row r="299">
      <c r="A299" s="14">
        <f>IF(B299="","",IF(C299="Epic",IFERROR(INDEX(Lists!$A:$A,MATCH(B299,Lists!$B:$B,0)),"?"),1000+ROW()))</f>
        <v/>
      </c>
      <c r="B299" s="15" t="n"/>
      <c r="C299" s="15" t="n"/>
      <c r="D299" s="15" t="n"/>
      <c r="E299" s="14">
        <f>IF(OR(C299="Epic",D299=""),"",IFERROR(INDEX(Lists!$A:$A,MATCH(D299,Lists!$B:$B,0)),""))</f>
        <v/>
      </c>
      <c r="F299" s="15" t="n"/>
      <c r="G299" s="15" t="n"/>
      <c r="H299" s="15" t="n"/>
      <c r="I299" s="15" t="n"/>
      <c r="J299" s="16" t="n"/>
      <c r="K299" s="16" t="n"/>
      <c r="L299" s="17">
        <f>IF(OR(C299="Epic",J299=""),"",MAX(0,J299-N(K299)))</f>
        <v/>
      </c>
      <c r="M299" s="18" t="n"/>
      <c r="N299" s="19">
        <f>IF(OR(L299="",M299=""),"",L299*M299)</f>
        <v/>
      </c>
      <c r="O299" s="15" t="n"/>
      <c r="P299" s="16" t="n"/>
      <c r="Q299" s="20" t="n"/>
      <c r="R299" s="21">
        <f>IF(OR(B299="",C299="Epic"),"",IF(Q299="",Settings!$B$3,Q299))</f>
        <v/>
      </c>
      <c r="S299" s="21">
        <f>IF(OR(R299="",P299="",N(L299)=0),"",R299-P299-Settings!$B$4)</f>
        <v/>
      </c>
      <c r="T299" s="17">
        <f>IF(S299="","",S299-TODAY())</f>
        <v/>
      </c>
      <c r="U299" s="14">
        <f>IF(OR(B299="",C299="Epic"),"",IF(N(L299)=0,IF(J299="","","ON HAND"),IF(OR(O299="Ordered",O299="Shipped",O299="Received"),O299,IF(S299="","NEED LEAD TIME",IF(T299&lt;0,"OVERDUE",IF(T299&lt;=Settings!$B$5,"ORDER SOON","OK"))))))</f>
        <v/>
      </c>
      <c r="V299" s="15" t="n"/>
    </row>
    <row r="300">
      <c r="A300" s="14">
        <f>IF(B300="","",IF(C300="Epic",IFERROR(INDEX(Lists!$A:$A,MATCH(B300,Lists!$B:$B,0)),"?"),1000+ROW()))</f>
        <v/>
      </c>
      <c r="B300" s="15" t="n"/>
      <c r="C300" s="15" t="n"/>
      <c r="D300" s="15" t="n"/>
      <c r="E300" s="14">
        <f>IF(OR(C300="Epic",D300=""),"",IFERROR(INDEX(Lists!$A:$A,MATCH(D300,Lists!$B:$B,0)),""))</f>
        <v/>
      </c>
      <c r="F300" s="15" t="n"/>
      <c r="G300" s="15" t="n"/>
      <c r="H300" s="15" t="n"/>
      <c r="I300" s="15" t="n"/>
      <c r="J300" s="16" t="n"/>
      <c r="K300" s="16" t="n"/>
      <c r="L300" s="17">
        <f>IF(OR(C300="Epic",J300=""),"",MAX(0,J300-N(K300)))</f>
        <v/>
      </c>
      <c r="M300" s="18" t="n"/>
      <c r="N300" s="19">
        <f>IF(OR(L300="",M300=""),"",L300*M300)</f>
        <v/>
      </c>
      <c r="O300" s="15" t="n"/>
      <c r="P300" s="16" t="n"/>
      <c r="Q300" s="20" t="n"/>
      <c r="R300" s="21">
        <f>IF(OR(B300="",C300="Epic"),"",IF(Q300="",Settings!$B$3,Q300))</f>
        <v/>
      </c>
      <c r="S300" s="21">
        <f>IF(OR(R300="",P300="",N(L300)=0),"",R300-P300-Settings!$B$4)</f>
        <v/>
      </c>
      <c r="T300" s="17">
        <f>IF(S300="","",S300-TODAY())</f>
        <v/>
      </c>
      <c r="U300" s="14">
        <f>IF(OR(B300="",C300="Epic"),"",IF(N(L300)=0,IF(J300="","","ON HAND"),IF(OR(O300="Ordered",O300="Shipped",O300="Received"),O300,IF(S300="","NEED LEAD TIME",IF(T300&lt;0,"OVERDUE",IF(T300&lt;=Settings!$B$5,"ORDER SOON","OK"))))))</f>
        <v/>
      </c>
      <c r="V300" s="15" t="n"/>
    </row>
  </sheetData>
  <autoFilter ref="A1:V300"/>
  <conditionalFormatting sqref="U2:U300">
    <cfRule type="expression" priority="1" dxfId="0">
      <formula>$U2="OVERDUE"</formula>
    </cfRule>
    <cfRule type="expression" priority="2" dxfId="1">
      <formula>$U2="ORDER SOON"</formula>
    </cfRule>
    <cfRule type="expression" priority="3" dxfId="2">
      <formula>$U2="NEED LEAD TIME"</formula>
    </cfRule>
    <cfRule type="expression" priority="4" dxfId="3">
      <formula>$U2="OK"</formula>
    </cfRule>
    <cfRule type="expression" priority="5" dxfId="4">
      <formula>$U2="ON HAND"</formula>
    </cfRule>
  </conditionalFormatting>
  <dataValidations count="5">
    <dataValidation sqref="C2:C300" showDropDown="0" showInputMessage="0" showErrorMessage="0" allowBlank="1" type="list">
      <formula1>=Lists!$D$2:$D$5</formula1>
    </dataValidation>
    <dataValidation sqref="D2:D300" showDropDown="0" showInputMessage="0" showErrorMessage="0" allowBlank="1" type="list">
      <formula1>=Lists!$B$2:$B$30</formula1>
    </dataValidation>
    <dataValidation sqref="O2:O300" showDropDown="0" showInputMessage="0" showErrorMessage="0" allowBlank="1" type="list">
      <formula1>=Lists!$E$2:$E$12</formula1>
    </dataValidation>
    <dataValidation sqref="J2:K300 M2:M300 P2:P300" showDropDown="0" showInputMessage="0" showErrorMessage="0" allowBlank="1" type="decimal" operator="greaterThanOrEqual">
      <formula1>0</formula1>
    </dataValidation>
    <dataValidation sqref="Q2:Q300" showDropDown="0" showInputMessage="0" showErrorMessage="1" allowBlank="1" error="Enter a date (yyyy-mm-dd)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="10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90" customWidth="1" min="3" max="3"/>
  </cols>
  <sheetData>
    <row r="1">
      <c r="A1" s="22" t="inlineStr">
        <is>
          <t>Settings</t>
        </is>
      </c>
    </row>
    <row r="3">
      <c r="A3" s="3" t="inlineStr">
        <is>
          <t>Target Build Date</t>
        </is>
      </c>
      <c r="B3" s="23" t="n">
        <v>46478</v>
      </c>
      <c r="C3" s="24" t="inlineStr">
        <is>
          <t>Placeholder — set to the date you plan to start assembly. Default Need-by for every part.</t>
        </is>
      </c>
    </row>
    <row r="4">
      <c r="A4" s="3" t="inlineStr">
        <is>
          <t>Safety Buffer (days)</t>
        </is>
      </c>
      <c r="B4" s="25" t="n">
        <v>7</v>
      </c>
      <c r="C4" s="24" t="inlineStr">
        <is>
          <t>Extra days subtracted from Need-by on top of lead time (shipping slips, inspection).</t>
        </is>
      </c>
    </row>
    <row r="5">
      <c r="A5" s="3" t="inlineStr">
        <is>
          <t>Warning Window (days)</t>
        </is>
      </c>
      <c r="B5" s="25" t="n">
        <v>14</v>
      </c>
      <c r="C5" s="24" t="inlineStr">
        <is>
          <t>Order Flag shows ORDER SOON when the order-by date is within this many days.</t>
        </is>
      </c>
    </row>
    <row r="8">
      <c r="A8" s="22" t="inlineStr">
        <is>
          <t>Summary</t>
        </is>
      </c>
    </row>
    <row r="10">
      <c r="A10" s="3" t="inlineStr">
        <is>
          <t>Parts to order (lines)</t>
        </is>
      </c>
      <c r="B10" s="17">
        <f>COUNTIFS(BOM!$C$2:$C$300,"&lt;&gt;Epic",BOM!$L$2:$L$300,"&gt;0")</f>
        <v/>
      </c>
    </row>
    <row r="11">
      <c r="A11" s="3" t="inlineStr">
        <is>
          <t>Est. cost to order ($)</t>
        </is>
      </c>
      <c r="B11" s="19">
        <f>SUM(BOM!$N$2:$N$300)</f>
        <v/>
      </c>
    </row>
    <row r="12">
      <c r="A12" s="3" t="inlineStr">
        <is>
          <t>OVERDUE lines</t>
        </is>
      </c>
      <c r="B12" s="17">
        <f>COUNTIF(BOM!$U$2:$U$300,"OVERDUE")</f>
        <v/>
      </c>
    </row>
    <row r="13">
      <c r="A13" s="3" t="inlineStr">
        <is>
          <t>ORDER SOON lines</t>
        </is>
      </c>
      <c r="B13" s="17">
        <f>COUNTIF(BOM!$U$2:$U$300,"ORDER SOON")</f>
        <v/>
      </c>
    </row>
    <row r="14">
      <c r="A14" s="3" t="inlineStr">
        <is>
          <t>Earliest open order-by date</t>
        </is>
      </c>
      <c r="B14" s="21">
        <f>IFERROR(1/(1/_xlfn.MINIFS(BOM!$S$2:$S$300,BOM!$L$2:$L$300,"&gt;0",BOM!$O$2:$O$300,"&lt;&gt;Ordered",BOM!$O$2:$O$300,"&lt;&gt;Shipped",BOM!$O$2:$O$300,"&lt;&gt;Received")),"—")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" customWidth="1" min="3" max="3"/>
    <col width="14" customWidth="1" min="4" max="4"/>
    <col width="20" customWidth="1" min="5" max="5"/>
  </cols>
  <sheetData>
    <row r="1">
      <c r="A1" s="26" t="inlineStr">
        <is>
          <t>Epic ID</t>
        </is>
      </c>
      <c r="B1" s="26" t="inlineStr">
        <is>
          <t>Subsystem (Epic)</t>
        </is>
      </c>
      <c r="D1" s="26" t="inlineStr">
        <is>
          <t>Work Type</t>
        </is>
      </c>
      <c r="E1" s="26" t="inlineStr">
        <is>
          <t>Procurement Status</t>
        </is>
      </c>
      <c r="G1" s="24" t="inlineStr">
        <is>
          <t>Add subsystems below row 9 if needed (IDs must stay unique and under 1000), then add matching Epic rows on BOM.</t>
        </is>
      </c>
    </row>
    <row r="2">
      <c r="A2" s="27" t="n">
        <v>1</v>
      </c>
      <c r="B2" s="27" t="inlineStr">
        <is>
          <t>Rotor &amp; Blades</t>
        </is>
      </c>
      <c r="D2" s="27" t="inlineStr">
        <is>
          <t>Epic</t>
        </is>
      </c>
      <c r="E2" s="27" t="inlineStr">
        <is>
          <t>Not quoted</t>
        </is>
      </c>
    </row>
    <row r="3">
      <c r="A3" s="27" t="n">
        <v>2</v>
      </c>
      <c r="B3" s="27" t="inlineStr">
        <is>
          <t>Hub &amp; Nacelle</t>
        </is>
      </c>
      <c r="D3" s="27" t="inlineStr">
        <is>
          <t>Task</t>
        </is>
      </c>
      <c r="E3" s="27" t="inlineStr">
        <is>
          <t>Quoted</t>
        </is>
      </c>
    </row>
    <row r="4">
      <c r="A4" s="27" t="n">
        <v>3</v>
      </c>
      <c r="B4" s="27" t="inlineStr">
        <is>
          <t>Generator / Alternator</t>
        </is>
      </c>
      <c r="D4" s="27" t="inlineStr">
        <is>
          <t>Story</t>
        </is>
      </c>
      <c r="E4" s="27" t="inlineStr">
        <is>
          <t>Ordered</t>
        </is>
      </c>
    </row>
    <row r="5">
      <c r="A5" s="27" t="n">
        <v>4</v>
      </c>
      <c r="B5" s="27" t="inlineStr">
        <is>
          <t>Yaw &amp; Furling</t>
        </is>
      </c>
      <c r="D5" s="27" t="inlineStr">
        <is>
          <t>Subtask</t>
        </is>
      </c>
      <c r="E5" s="27" t="inlineStr">
        <is>
          <t>Shipped</t>
        </is>
      </c>
    </row>
    <row r="6">
      <c r="A6" s="27" t="n">
        <v>5</v>
      </c>
      <c r="B6" s="27" t="inlineStr">
        <is>
          <t>Tower &amp; Foundation</t>
        </is>
      </c>
      <c r="E6" s="27" t="inlineStr">
        <is>
          <t>Received</t>
        </is>
      </c>
    </row>
    <row r="7">
      <c r="A7" s="27" t="n">
        <v>6</v>
      </c>
      <c r="B7" s="27" t="inlineStr">
        <is>
          <t>Electrical &amp; Power Conversion</t>
        </is>
      </c>
      <c r="E7" s="27" t="inlineStr">
        <is>
          <t>On hand</t>
        </is>
      </c>
    </row>
    <row r="8">
      <c r="A8" s="27" t="n">
        <v>7</v>
      </c>
      <c r="B8" s="27" t="inlineStr">
        <is>
          <t>Energy Storage</t>
        </is>
      </c>
      <c r="E8" s="27" t="inlineStr">
        <is>
          <t>Fabricate in-house</t>
        </is>
      </c>
    </row>
    <row r="9">
      <c r="A9" s="27" t="n">
        <v>8</v>
      </c>
      <c r="B9" s="27" t="inlineStr">
        <is>
          <t>Controls &amp;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2026-10-09T15:21:30Z</dcterms:created>
  <dcterms:modified xsi:type="dcterms:W3CDTF">2026-10-09T15:21:30Z</dcterms:modified>
</cp:coreProperties>
</file>